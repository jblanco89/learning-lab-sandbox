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avie\Documents\learning-lab-sandbox\learning\languages\vba\numerical\"/>
    </mc:Choice>
  </mc:AlternateContent>
  <xr:revisionPtr revIDLastSave="0" documentId="13_ncr:1_{5B44DC7A-4B7C-4924-9CEB-9B1271ED32B2}" xr6:coauthVersionLast="47" xr6:coauthVersionMax="47" xr10:uidLastSave="{00000000-0000-0000-0000-000000000000}"/>
  <bookViews>
    <workbookView xWindow="-108" yWindow="-108" windowWidth="23256" windowHeight="12456" xr2:uid="{042CC894-FE2F-4B11-AC86-705100DB13FD}"/>
  </bookViews>
  <sheets>
    <sheet name="Kappa" sheetId="1" r:id="rId1"/>
  </sheets>
  <definedNames>
    <definedName name="_xleta.CONCATENATE" hidden="1" xlm="1">#NAME?</definedName>
    <definedName name="_xleta.PI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1" i="1" l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W7" i="1"/>
  <c r="Y4" i="1" s="1"/>
  <c r="X4" i="1" l="1"/>
</calcChain>
</file>

<file path=xl/sharedStrings.xml><?xml version="1.0" encoding="utf-8"?>
<sst xmlns="http://schemas.openxmlformats.org/spreadsheetml/2006/main" count="46" uniqueCount="45">
  <si>
    <t>Cat 1</t>
  </si>
  <si>
    <t>Cat 2</t>
  </si>
  <si>
    <t>Cat 3</t>
  </si>
  <si>
    <t>Sub 1</t>
  </si>
  <si>
    <t>Sub 2</t>
  </si>
  <si>
    <t>Sub 3</t>
  </si>
  <si>
    <t>Sub 4</t>
  </si>
  <si>
    <t>Sub 5</t>
  </si>
  <si>
    <t>Sub 6</t>
  </si>
  <si>
    <t>Sub 7</t>
  </si>
  <si>
    <t>Sub 8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</si>
  <si>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</si>
  <si>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</si>
  <si>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</si>
  <si>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</si>
  <si>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</si>
  <si>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</si>
  <si>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</si>
  <si>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</si>
  <si>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Sub 17</t>
  </si>
  <si>
    <t>Sub 18</t>
  </si>
  <si>
    <t>Sub 19</t>
  </si>
  <si>
    <t>Sub 20</t>
  </si>
  <si>
    <t>Sub 21</t>
  </si>
  <si>
    <t>Sub 22</t>
  </si>
  <si>
    <t>Sub 23</t>
  </si>
  <si>
    <t>Sub 24</t>
  </si>
  <si>
    <t>invisible</t>
  </si>
  <si>
    <t>Pointer</t>
  </si>
  <si>
    <t>X</t>
  </si>
  <si>
    <t>Y</t>
  </si>
  <si>
    <t>Poor</t>
  </si>
  <si>
    <t>Excellent</t>
  </si>
  <si>
    <t>Acceptable</t>
  </si>
  <si>
    <t>Origin</t>
  </si>
  <si>
    <r>
      <t>Kappa (</t>
    </r>
    <r>
      <rPr>
        <b/>
        <sz val="12"/>
        <color theme="1"/>
        <rFont val="Aptos Narrow"/>
        <family val="2"/>
      </rPr>
      <t>κ)</t>
    </r>
  </si>
  <si>
    <t>Raters</t>
  </si>
  <si>
    <t>Angle</t>
  </si>
  <si>
    <t>Factor</t>
  </si>
  <si>
    <t>Z-Score</t>
  </si>
  <si>
    <t>X Axis</t>
  </si>
  <si>
    <t>Gaussian F</t>
  </si>
  <si>
    <t>Z position</t>
  </si>
  <si>
    <t>Var</t>
  </si>
  <si>
    <t>Step: 75/75 | Kappa: 0,773 | Raters: 10 | Subjects: 24 | Z-score: 25,40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</si>
</sst>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1"/>
      <name val="Aptos Narrow"/>
      <family val="2"/>
    </font>
    <font>
      <b/>
      <sz val="11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3"/>
      <name val="Aptos Narrow"/>
      <family val="2"/>
      <scheme val="minor"/>
    </font>
    <font>
      <b/>
      <sz val="12"/>
      <color theme="1"/>
      <name val="Abadi"/>
      <family val="2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1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</cellStyleXfs>
  <cellXfs count="43">
    <xf numFmtId="0" fontId="0" fillId="0" borderId="0" xfId="0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164" fontId="7" fillId="0" borderId="14" xfId="0" applyNumberFormat="1" applyFont="1" applyBorder="1" applyAlignment="1">
      <alignment horizontal="center"/>
    </xf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2" fontId="0" fillId="0" borderId="4" xfId="0" applyNumberFormat="1" applyBorder="1"/>
    <xf numFmtId="2" fontId="0" fillId="0" borderId="6" xfId="0" applyNumberFormat="1" applyBorder="1"/>
    <xf numFmtId="0" fontId="4" fillId="0" borderId="9" xfId="0" applyFont="1" applyBorder="1" applyAlignment="1">
      <alignment horizontal="center" vertical="center"/>
    </xf>
    <xf numFmtId="0" fontId="4" fillId="3" borderId="14" xfId="2" applyFont="1" applyBorder="1" applyAlignment="1">
      <alignment horizontal="center"/>
    </xf>
    <xf numFmtId="2" fontId="10" fillId="2" borderId="2" xfId="1" applyNumberFormat="1" applyFont="1" applyBorder="1" applyAlignment="1">
      <alignment horizontal="center"/>
    </xf>
    <xf numFmtId="0" fontId="1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1" fontId="12" fillId="7" borderId="2" xfId="1" applyNumberFormat="1" applyFont="1" applyFill="1" applyBorder="1" applyAlignment="1">
      <alignment horizontal="center"/>
    </xf>
  </cellXfs>
  <cellStyles count="3">
    <cellStyle name="40% - Énfasis5" xfId="2" builtinId="47"/>
    <cellStyle name="Normal" xfId="0" builtinId="0"/>
    <cellStyle name="Salida" xfId="1" builtinId="21"/>
  </cellStyles>
  <dxfs count="3">
    <dxf>
      <font>
        <b val="0"/>
        <i val="0"/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654502302493689"/>
          <c:y val="0.10967306175242611"/>
          <c:w val="0.47851473324547567"/>
          <c:h val="0.8759538666135230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964-46B9-B502-46786F3CCFAE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64-46B9-B502-46786F3CCFAE}"/>
              </c:ext>
            </c:extLst>
          </c:dPt>
          <c:dPt>
            <c:idx val="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7964-46B9-B502-46786F3CCFAE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64-46B9-B502-46786F3CCFA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98EE3DC3-AFAE-48D3-87FD-CCC9B5ABDF90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964-46B9-B502-46786F3CCF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B8EE1F-4D9C-4D69-96F7-0098E49EEF66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64-46B9-B502-46786F3CCF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35FFAD-BE4D-4F4D-AE05-2A92BCF04BF4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64-46B9-B502-46786F3CCF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s-E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64-46B9-B502-46786F3CCF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Lit>
              <c:ptCount val="4"/>
              <c:pt idx="0">
                <c:v>Poor</c:v>
              </c:pt>
              <c:pt idx="1">
                <c:v>Acceptable</c:v>
              </c:pt>
              <c:pt idx="2">
                <c:v>Excellent</c:v>
              </c:pt>
              <c:pt idx="3">
                <c:v>invisible</c:v>
              </c:pt>
            </c:strLit>
          </c:cat>
          <c:val>
            <c:numLit>
              <c:formatCode>General</c:formatCode>
              <c:ptCount val="4"/>
              <c:pt idx="0">
                <c:v>40</c:v>
              </c:pt>
              <c:pt idx="1">
                <c:v>30</c:v>
              </c:pt>
              <c:pt idx="2">
                <c:v>20</c:v>
              </c:pt>
              <c:pt idx="3">
                <c:v>90</c:v>
              </c:pt>
            </c:numLit>
          </c:val>
          <c:extLst>
            <c:ext xmlns:c15="http://schemas.microsoft.com/office/drawing/2012/chart" uri="{02D57815-91ED-43cb-92C2-25804820EDAC}">
              <c15:datalabelsRange>
                <c15:f>Kappa!$T$2:$T$4</c15:f>
                <c15:dlblRangeCache>
                  <c:ptCount val="3"/>
                  <c:pt idx="0">
                    <c:v>Poor</c:v>
                  </c:pt>
                  <c:pt idx="1">
                    <c:v>Acceptable</c:v>
                  </c:pt>
                  <c:pt idx="2">
                    <c:v>Excellent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964-46B9-B502-46786F3CC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9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469365705909621E-2"/>
          <c:y val="0.11285528309347884"/>
          <c:w val="0.91915729143941105"/>
          <c:h val="0.82265598371024751"/>
        </c:manualLayout>
      </c:layout>
      <c:scatterChart>
        <c:scatterStyle val="smoothMarker"/>
        <c:varyColors val="0"/>
        <c:ser>
          <c:idx val="0"/>
          <c:order val="0"/>
          <c:spPr>
            <a:ln w="38100" cap="rnd" cmpd="sng">
              <a:solidFill>
                <a:schemeClr val="tx2"/>
              </a:solidFill>
              <a:prstDash val="solid"/>
              <a:round/>
              <a:headEnd type="none"/>
              <a:tailEnd type="triangle"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8100" cap="rnd" cmpd="sng">
                <a:solidFill>
                  <a:schemeClr val="tx2"/>
                </a:solidFill>
                <a:prstDash val="solid"/>
                <a:round/>
                <a:headEnd type="none"/>
                <a:tailEnd type="triangle" w="lg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2-7BB4-4A65-A757-531A677EAC01}"/>
              </c:ext>
            </c:extLst>
          </c:dPt>
          <c:xVal>
            <c:numRef>
              <c:f>Kappa!$X$3:$X$4</c:f>
              <c:numCache>
                <c:formatCode>General</c:formatCode>
                <c:ptCount val="2"/>
                <c:pt idx="0">
                  <c:v>0</c:v>
                </c:pt>
                <c:pt idx="1">
                  <c:v>0.5445702285817754</c:v>
                </c:pt>
              </c:numCache>
            </c:numRef>
          </c:xVal>
          <c:yVal>
            <c:numRef>
              <c:f>Kappa!$Y$3:$Y$4</c:f>
              <c:numCache>
                <c:formatCode>General</c:formatCode>
                <c:ptCount val="2"/>
                <c:pt idx="0">
                  <c:v>0</c:v>
                </c:pt>
                <c:pt idx="1">
                  <c:v>0.47100240566518647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4-4A65-A757-531A677EA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907728"/>
        <c:axId val="708912528"/>
      </c:scatterChart>
      <c:valAx>
        <c:axId val="708907728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none"/>
        <c:minorTickMark val="none"/>
        <c:tickLblPos val="nextTo"/>
        <c:crossAx val="708912528"/>
        <c:crosses val="autoZero"/>
        <c:crossBetween val="midCat"/>
      </c:valAx>
      <c:valAx>
        <c:axId val="70891252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0890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s-ES" b="1"/>
              <a:t>Statistic-Test</a:t>
            </a:r>
          </a:p>
        </c:rich>
      </c:tx>
      <c:layout>
        <c:manualLayout>
          <c:xMode val="edge"/>
          <c:yMode val="edge"/>
          <c:x val="0.35097222222222219"/>
          <c:y val="2.41286837802997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7.2969816272965879E-2"/>
          <c:y val="0.15895710709626387"/>
          <c:w val="0.76883814523184602"/>
          <c:h val="0.71744224579477034"/>
        </c:manualLayout>
      </c:layout>
      <c:areaChart>
        <c:grouping val="standard"/>
        <c:varyColors val="0"/>
        <c:ser>
          <c:idx val="0"/>
          <c:order val="0"/>
          <c:tx>
            <c:strRef>
              <c:f>Kappa!$X$10</c:f>
              <c:strCache>
                <c:ptCount val="1"/>
                <c:pt idx="0">
                  <c:v>Gaussian F</c:v>
                </c:pt>
              </c:strCache>
            </c:strRef>
          </c:tx>
          <c:spPr>
            <a:solidFill>
              <a:schemeClr val="tx2">
                <a:lumMod val="25000"/>
                <a:lumOff val="75000"/>
                <a:alpha val="51000"/>
              </a:schemeClr>
            </a:solidFill>
            <a:ln w="22225">
              <a:solidFill>
                <a:schemeClr val="tx2">
                  <a:lumMod val="90000"/>
                  <a:lumOff val="10000"/>
                </a:schemeClr>
              </a:solidFill>
            </a:ln>
            <a:effectLst/>
          </c:spPr>
          <c:cat>
            <c:strLit>
              <c:ptCount val="81"/>
              <c:pt idx="0">
                <c:v>-4</c:v>
              </c:pt>
              <c:pt idx="1">
                <c:v>-3,9</c:v>
              </c:pt>
              <c:pt idx="2">
                <c:v>-3,8</c:v>
              </c:pt>
              <c:pt idx="3">
                <c:v>-3,7</c:v>
              </c:pt>
              <c:pt idx="4">
                <c:v>-3,6</c:v>
              </c:pt>
              <c:pt idx="5">
                <c:v>-3,5</c:v>
              </c:pt>
              <c:pt idx="6">
                <c:v>-3,4</c:v>
              </c:pt>
              <c:pt idx="7">
                <c:v>-3,3</c:v>
              </c:pt>
              <c:pt idx="8">
                <c:v>-3,2</c:v>
              </c:pt>
              <c:pt idx="9">
                <c:v>-3,1</c:v>
              </c:pt>
              <c:pt idx="10">
                <c:v>-3</c:v>
              </c:pt>
              <c:pt idx="11">
                <c:v>-2,9</c:v>
              </c:pt>
              <c:pt idx="12">
                <c:v>-2,8</c:v>
              </c:pt>
              <c:pt idx="13">
                <c:v>-2,7</c:v>
              </c:pt>
              <c:pt idx="14">
                <c:v>-2,6</c:v>
              </c:pt>
              <c:pt idx="15">
                <c:v>-2,5</c:v>
              </c:pt>
              <c:pt idx="16">
                <c:v>-2,4</c:v>
              </c:pt>
              <c:pt idx="17">
                <c:v>-2,3</c:v>
              </c:pt>
              <c:pt idx="18">
                <c:v>-2,2</c:v>
              </c:pt>
              <c:pt idx="19">
                <c:v>-2,1</c:v>
              </c:pt>
              <c:pt idx="20">
                <c:v>-2</c:v>
              </c:pt>
              <c:pt idx="21">
                <c:v>-1,9</c:v>
              </c:pt>
              <c:pt idx="22">
                <c:v>-1,8</c:v>
              </c:pt>
              <c:pt idx="23">
                <c:v>-1,7</c:v>
              </c:pt>
              <c:pt idx="24">
                <c:v>-1,6</c:v>
              </c:pt>
              <c:pt idx="25">
                <c:v>-1,5</c:v>
              </c:pt>
              <c:pt idx="26">
                <c:v>-1,4</c:v>
              </c:pt>
              <c:pt idx="27">
                <c:v>-1,3</c:v>
              </c:pt>
              <c:pt idx="28">
                <c:v>-1,2</c:v>
              </c:pt>
              <c:pt idx="29">
                <c:v>-1,1</c:v>
              </c:pt>
              <c:pt idx="30">
                <c:v>-1</c:v>
              </c:pt>
              <c:pt idx="31">
                <c:v>-0,9</c:v>
              </c:pt>
              <c:pt idx="32">
                <c:v>-0,8</c:v>
              </c:pt>
              <c:pt idx="33">
                <c:v>-0,7</c:v>
              </c:pt>
              <c:pt idx="34">
                <c:v>-0,6</c:v>
              </c:pt>
              <c:pt idx="35">
                <c:v>-0,5</c:v>
              </c:pt>
              <c:pt idx="36">
                <c:v>-0,4</c:v>
              </c:pt>
              <c:pt idx="37">
                <c:v>-0,3</c:v>
              </c:pt>
              <c:pt idx="38">
                <c:v>-0,2</c:v>
              </c:pt>
              <c:pt idx="39">
                <c:v>-0,1</c:v>
              </c:pt>
              <c:pt idx="40">
                <c:v>2,41474E-15</c:v>
              </c:pt>
              <c:pt idx="41">
                <c:v>0,1</c:v>
              </c:pt>
              <c:pt idx="42">
                <c:v>0,2</c:v>
              </c:pt>
              <c:pt idx="43">
                <c:v>0,3</c:v>
              </c:pt>
              <c:pt idx="44">
                <c:v>0,4</c:v>
              </c:pt>
              <c:pt idx="45">
                <c:v>0,5</c:v>
              </c:pt>
              <c:pt idx="46">
                <c:v>0,6</c:v>
              </c:pt>
              <c:pt idx="47">
                <c:v>0,7</c:v>
              </c:pt>
              <c:pt idx="48">
                <c:v>0,8</c:v>
              </c:pt>
              <c:pt idx="49">
                <c:v>0,9</c:v>
              </c:pt>
              <c:pt idx="50">
                <c:v>1</c:v>
              </c:pt>
              <c:pt idx="51">
                <c:v>1,1</c:v>
              </c:pt>
              <c:pt idx="52">
                <c:v>1,2</c:v>
              </c:pt>
              <c:pt idx="53">
                <c:v>1,3</c:v>
              </c:pt>
              <c:pt idx="54">
                <c:v>1,4</c:v>
              </c:pt>
              <c:pt idx="55">
                <c:v>1,5</c:v>
              </c:pt>
              <c:pt idx="56">
                <c:v>1,6</c:v>
              </c:pt>
              <c:pt idx="57">
                <c:v>1,7</c:v>
              </c:pt>
              <c:pt idx="58">
                <c:v>1,8</c:v>
              </c:pt>
              <c:pt idx="59">
                <c:v>1,9</c:v>
              </c:pt>
              <c:pt idx="60">
                <c:v>2</c:v>
              </c:pt>
              <c:pt idx="61">
                <c:v>2,1</c:v>
              </c:pt>
              <c:pt idx="62">
                <c:v>2,2</c:v>
              </c:pt>
              <c:pt idx="63">
                <c:v>2,3</c:v>
              </c:pt>
              <c:pt idx="64">
                <c:v>2,4</c:v>
              </c:pt>
              <c:pt idx="65">
                <c:v>2,5</c:v>
              </c:pt>
              <c:pt idx="66">
                <c:v>2,6</c:v>
              </c:pt>
              <c:pt idx="67">
                <c:v>2,7</c:v>
              </c:pt>
              <c:pt idx="68">
                <c:v>2,8</c:v>
              </c:pt>
              <c:pt idx="69">
                <c:v>2,9</c:v>
              </c:pt>
              <c:pt idx="70">
                <c:v>3</c:v>
              </c:pt>
              <c:pt idx="71">
                <c:v>3,1</c:v>
              </c:pt>
              <c:pt idx="72">
                <c:v>3,2</c:v>
              </c:pt>
              <c:pt idx="73">
                <c:v>3,3</c:v>
              </c:pt>
              <c:pt idx="74">
                <c:v>3,4</c:v>
              </c:pt>
              <c:pt idx="75">
                <c:v>3,5</c:v>
              </c:pt>
              <c:pt idx="76">
                <c:v>3,6</c:v>
              </c:pt>
              <c:pt idx="77">
                <c:v>3,7</c:v>
              </c:pt>
              <c:pt idx="78">
                <c:v>3,8</c:v>
              </c:pt>
              <c:pt idx="79">
                <c:v>3,9</c:v>
              </c:pt>
              <c:pt idx="80">
                <c:v>4</c:v>
              </c:pt>
            </c:strLit>
          </c:cat>
          <c:val>
            <c:numRef>
              <c:f>Kappa!$X$11:$X$91</c:f>
              <c:numCache>
                <c:formatCode>General</c:formatCode>
                <c:ptCount val="81"/>
                <c:pt idx="0">
                  <c:v>1.3383022576488537E-4</c:v>
                </c:pt>
                <c:pt idx="1">
                  <c:v>1.9865547139277272E-4</c:v>
                </c:pt>
                <c:pt idx="2">
                  <c:v>2.9194692579146027E-4</c:v>
                </c:pt>
                <c:pt idx="3">
                  <c:v>4.2478027055075219E-4</c:v>
                </c:pt>
                <c:pt idx="4">
                  <c:v>6.1190193011377298E-4</c:v>
                </c:pt>
                <c:pt idx="5">
                  <c:v>8.7268269504576167E-4</c:v>
                </c:pt>
                <c:pt idx="6">
                  <c:v>1.232219168473021E-3</c:v>
                </c:pt>
                <c:pt idx="7">
                  <c:v>1.7225689390536843E-3</c:v>
                </c:pt>
                <c:pt idx="8">
                  <c:v>2.3840882014648486E-3</c:v>
                </c:pt>
                <c:pt idx="9">
                  <c:v>3.2668190561999273E-3</c:v>
                </c:pt>
                <c:pt idx="10">
                  <c:v>4.4318484119380188E-3</c:v>
                </c:pt>
                <c:pt idx="11">
                  <c:v>5.9525324197758694E-3</c:v>
                </c:pt>
                <c:pt idx="12">
                  <c:v>7.9154515829799894E-3</c:v>
                </c:pt>
                <c:pt idx="13">
                  <c:v>1.0420934814422628E-2</c:v>
                </c:pt>
                <c:pt idx="14">
                  <c:v>1.3582969233685661E-2</c:v>
                </c:pt>
                <c:pt idx="15">
                  <c:v>1.7528300493568599E-2</c:v>
                </c:pt>
                <c:pt idx="16">
                  <c:v>2.2394530294842969E-2</c:v>
                </c:pt>
                <c:pt idx="17">
                  <c:v>2.8327037741601276E-2</c:v>
                </c:pt>
                <c:pt idx="18">
                  <c:v>3.547459284623157E-2</c:v>
                </c:pt>
                <c:pt idx="19">
                  <c:v>4.3983595980427351E-2</c:v>
                </c:pt>
                <c:pt idx="20">
                  <c:v>5.399096651318825E-2</c:v>
                </c:pt>
                <c:pt idx="21">
                  <c:v>6.5615814774676831E-2</c:v>
                </c:pt>
                <c:pt idx="22">
                  <c:v>7.8950158300894427E-2</c:v>
                </c:pt>
                <c:pt idx="23">
                  <c:v>9.4049077376887252E-2</c:v>
                </c:pt>
                <c:pt idx="24">
                  <c:v>0.11092083467945592</c:v>
                </c:pt>
                <c:pt idx="25">
                  <c:v>0.12951759566589216</c:v>
                </c:pt>
                <c:pt idx="26">
                  <c:v>0.14972746563574535</c:v>
                </c:pt>
                <c:pt idx="27">
                  <c:v>0.17136859204780791</c:v>
                </c:pt>
                <c:pt idx="28">
                  <c:v>0.19418605498321354</c:v>
                </c:pt>
                <c:pt idx="29">
                  <c:v>0.21785217703255116</c:v>
                </c:pt>
                <c:pt idx="30">
                  <c:v>0.24197072451914398</c:v>
                </c:pt>
                <c:pt idx="31">
                  <c:v>0.26608524989875543</c:v>
                </c:pt>
                <c:pt idx="32">
                  <c:v>0.28969155276148334</c:v>
                </c:pt>
                <c:pt idx="33">
                  <c:v>0.31225393336676183</c:v>
                </c:pt>
                <c:pt idx="34">
                  <c:v>0.33322460289180011</c:v>
                </c:pt>
                <c:pt idx="35">
                  <c:v>0.35206532676429991</c:v>
                </c:pt>
                <c:pt idx="36">
                  <c:v>0.36827014030332367</c:v>
                </c:pt>
                <c:pt idx="37">
                  <c:v>0.38138781546052442</c:v>
                </c:pt>
                <c:pt idx="38">
                  <c:v>0.3910426939754561</c:v>
                </c:pt>
                <c:pt idx="39">
                  <c:v>0.39695254747701186</c:v>
                </c:pt>
                <c:pt idx="40">
                  <c:v>0.3989422804014327</c:v>
                </c:pt>
                <c:pt idx="41">
                  <c:v>0.3969525474770117</c:v>
                </c:pt>
                <c:pt idx="42">
                  <c:v>0.39104269397545571</c:v>
                </c:pt>
                <c:pt idx="43">
                  <c:v>0.3813878154605238</c:v>
                </c:pt>
                <c:pt idx="44">
                  <c:v>0.36827014030332295</c:v>
                </c:pt>
                <c:pt idx="45">
                  <c:v>0.35206532676429908</c:v>
                </c:pt>
                <c:pt idx="46">
                  <c:v>0.33322460289179917</c:v>
                </c:pt>
                <c:pt idx="47">
                  <c:v>0.31225393336676072</c:v>
                </c:pt>
                <c:pt idx="48">
                  <c:v>0.28969155276148217</c:v>
                </c:pt>
                <c:pt idx="49">
                  <c:v>0.26608524989875426</c:v>
                </c:pt>
                <c:pt idx="50">
                  <c:v>0.24197072451914278</c:v>
                </c:pt>
                <c:pt idx="51">
                  <c:v>0.21785217703254997</c:v>
                </c:pt>
                <c:pt idx="52">
                  <c:v>0.19418605498321231</c:v>
                </c:pt>
                <c:pt idx="53">
                  <c:v>0.17136859204780677</c:v>
                </c:pt>
                <c:pt idx="54">
                  <c:v>0.14972746563574427</c:v>
                </c:pt>
                <c:pt idx="55">
                  <c:v>0.12951759566589116</c:v>
                </c:pt>
                <c:pt idx="56">
                  <c:v>0.11092083467945503</c:v>
                </c:pt>
                <c:pt idx="57">
                  <c:v>9.4049077376886434E-2</c:v>
                </c:pt>
                <c:pt idx="58">
                  <c:v>7.8950158300893719E-2</c:v>
                </c:pt>
                <c:pt idx="59">
                  <c:v>6.5615814774676193E-2</c:v>
                </c:pt>
                <c:pt idx="60">
                  <c:v>5.3990966513187716E-2</c:v>
                </c:pt>
                <c:pt idx="61">
                  <c:v>4.39835959804269E-2</c:v>
                </c:pt>
                <c:pt idx="62">
                  <c:v>3.5474592846231189E-2</c:v>
                </c:pt>
                <c:pt idx="63">
                  <c:v>2.8327037741600961E-2</c:v>
                </c:pt>
                <c:pt idx="64">
                  <c:v>2.2394530294842712E-2</c:v>
                </c:pt>
                <c:pt idx="65">
                  <c:v>1.7528300493568381E-2</c:v>
                </c:pt>
                <c:pt idx="66">
                  <c:v>1.3582969233685486E-2</c:v>
                </c:pt>
                <c:pt idx="67">
                  <c:v>1.0420934814422488E-2</c:v>
                </c:pt>
                <c:pt idx="68">
                  <c:v>7.9154515829798801E-3</c:v>
                </c:pt>
                <c:pt idx="69">
                  <c:v>5.9525324197757853E-3</c:v>
                </c:pt>
                <c:pt idx="70">
                  <c:v>4.4318484119379529E-3</c:v>
                </c:pt>
                <c:pt idx="71">
                  <c:v>3.2668190561998783E-3</c:v>
                </c:pt>
                <c:pt idx="72">
                  <c:v>2.3840882014648105E-3</c:v>
                </c:pt>
                <c:pt idx="73">
                  <c:v>1.7225689390536552E-3</c:v>
                </c:pt>
                <c:pt idx="74">
                  <c:v>1.2322191684730013E-3</c:v>
                </c:pt>
                <c:pt idx="75">
                  <c:v>8.7268269504574606E-4</c:v>
                </c:pt>
                <c:pt idx="76">
                  <c:v>6.1190193011376214E-4</c:v>
                </c:pt>
                <c:pt idx="77">
                  <c:v>4.2478027055074428E-4</c:v>
                </c:pt>
                <c:pt idx="78">
                  <c:v>2.9194692579145507E-4</c:v>
                </c:pt>
                <c:pt idx="79">
                  <c:v>1.9865547139276881E-4</c:v>
                </c:pt>
                <c:pt idx="80">
                  <c:v>1.3383022576488298E-4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E7-4EDA-AA23-F9FF775F8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004624"/>
        <c:axId val="724005584"/>
      </c:areaChart>
      <c:barChart>
        <c:barDir val="col"/>
        <c:grouping val="clustered"/>
        <c:varyColors val="0"/>
        <c:ser>
          <c:idx val="1"/>
          <c:order val="1"/>
          <c:tx>
            <c:strRef>
              <c:f>Kappa!$Y$10</c:f>
              <c:strCache>
                <c:ptCount val="1"/>
                <c:pt idx="0">
                  <c:v>Z position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dPt>
            <c:idx val="12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51-4BAB-AB9F-A1F8AAE90ED3}"/>
              </c:ext>
            </c:extLst>
          </c:dPt>
          <c:dPt>
            <c:idx val="44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D51-4BAB-AB9F-A1F8AAE90ED3}"/>
              </c:ext>
            </c:extLst>
          </c:dPt>
          <c:dPt>
            <c:idx val="45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D51-4BAB-AB9F-A1F8AAE90ED3}"/>
              </c:ext>
            </c:extLst>
          </c:dPt>
          <c:dPt>
            <c:idx val="51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360-4176-817E-4AEA5D1F7C16}"/>
              </c:ext>
            </c:extLst>
          </c:dPt>
          <c:dPt>
            <c:idx val="76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D51-4BAB-AB9F-A1F8AAE90ED3}"/>
              </c:ext>
            </c:extLst>
          </c:dPt>
          <c:cat>
            <c:numRef>
              <c:f>Kappa!$W$11:$W$91</c:f>
              <c:numCache>
                <c:formatCode>0.00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-3.6999999999999997</c:v>
                </c:pt>
                <c:pt idx="4">
                  <c:v>-3.5999999999999996</c:v>
                </c:pt>
                <c:pt idx="5">
                  <c:v>-3.4999999999999996</c:v>
                </c:pt>
                <c:pt idx="6">
                  <c:v>-3.3999999999999995</c:v>
                </c:pt>
                <c:pt idx="7">
                  <c:v>-3.2999999999999994</c:v>
                </c:pt>
                <c:pt idx="8">
                  <c:v>-3.1999999999999993</c:v>
                </c:pt>
                <c:pt idx="9">
                  <c:v>-3.0999999999999992</c:v>
                </c:pt>
                <c:pt idx="10">
                  <c:v>-2.9999999999999991</c:v>
                </c:pt>
                <c:pt idx="11">
                  <c:v>-2.899999999999999</c:v>
                </c:pt>
                <c:pt idx="12">
                  <c:v>-2.7999999999999989</c:v>
                </c:pt>
                <c:pt idx="13">
                  <c:v>-2.6999999999999988</c:v>
                </c:pt>
                <c:pt idx="14">
                  <c:v>-2.5999999999999988</c:v>
                </c:pt>
                <c:pt idx="15">
                  <c:v>-2.4999999999999987</c:v>
                </c:pt>
                <c:pt idx="16">
                  <c:v>-2.3999999999999986</c:v>
                </c:pt>
                <c:pt idx="17">
                  <c:v>-2.2999999999999985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-1.9999999999999982</c:v>
                </c:pt>
                <c:pt idx="21">
                  <c:v>-1.8999999999999981</c:v>
                </c:pt>
                <c:pt idx="22">
                  <c:v>-1.799999999999998</c:v>
                </c:pt>
                <c:pt idx="23">
                  <c:v>-1.699999999999998</c:v>
                </c:pt>
                <c:pt idx="24">
                  <c:v>-1.5999999999999979</c:v>
                </c:pt>
                <c:pt idx="25">
                  <c:v>-1.4999999999999978</c:v>
                </c:pt>
                <c:pt idx="26">
                  <c:v>-1.3999999999999977</c:v>
                </c:pt>
                <c:pt idx="27">
                  <c:v>-1.2999999999999976</c:v>
                </c:pt>
                <c:pt idx="28">
                  <c:v>-1.1999999999999975</c:v>
                </c:pt>
                <c:pt idx="29">
                  <c:v>-1.0999999999999974</c:v>
                </c:pt>
                <c:pt idx="30">
                  <c:v>-0.99999999999999745</c:v>
                </c:pt>
                <c:pt idx="31">
                  <c:v>-0.89999999999999747</c:v>
                </c:pt>
                <c:pt idx="32">
                  <c:v>-0.79999999999999749</c:v>
                </c:pt>
                <c:pt idx="33">
                  <c:v>-0.69999999999999751</c:v>
                </c:pt>
                <c:pt idx="34">
                  <c:v>-0.59999999999999754</c:v>
                </c:pt>
                <c:pt idx="35">
                  <c:v>-0.49999999999999756</c:v>
                </c:pt>
                <c:pt idx="36">
                  <c:v>-0.39999999999999758</c:v>
                </c:pt>
                <c:pt idx="37">
                  <c:v>-0.2999999999999976</c:v>
                </c:pt>
                <c:pt idx="38">
                  <c:v>-0.1999999999999976</c:v>
                </c:pt>
                <c:pt idx="39">
                  <c:v>-9.9999999999997591E-2</c:v>
                </c:pt>
                <c:pt idx="40">
                  <c:v>2.4147350785597155E-15</c:v>
                </c:pt>
                <c:pt idx="41">
                  <c:v>0.10000000000000242</c:v>
                </c:pt>
                <c:pt idx="42">
                  <c:v>0.20000000000000243</c:v>
                </c:pt>
                <c:pt idx="43">
                  <c:v>0.30000000000000243</c:v>
                </c:pt>
                <c:pt idx="44">
                  <c:v>0.40000000000000246</c:v>
                </c:pt>
                <c:pt idx="45">
                  <c:v>0.50000000000000244</c:v>
                </c:pt>
                <c:pt idx="46">
                  <c:v>0.60000000000000242</c:v>
                </c:pt>
                <c:pt idx="47">
                  <c:v>0.7000000000000024</c:v>
                </c:pt>
                <c:pt idx="48">
                  <c:v>0.80000000000000238</c:v>
                </c:pt>
                <c:pt idx="49">
                  <c:v>0.90000000000000235</c:v>
                </c:pt>
                <c:pt idx="50">
                  <c:v>1.0000000000000024</c:v>
                </c:pt>
                <c:pt idx="51">
                  <c:v>1.1000000000000025</c:v>
                </c:pt>
                <c:pt idx="52">
                  <c:v>1.2000000000000026</c:v>
                </c:pt>
                <c:pt idx="53">
                  <c:v>1.3000000000000027</c:v>
                </c:pt>
                <c:pt idx="54">
                  <c:v>1.4000000000000028</c:v>
                </c:pt>
                <c:pt idx="55">
                  <c:v>1.5000000000000029</c:v>
                </c:pt>
                <c:pt idx="56">
                  <c:v>1.600000000000003</c:v>
                </c:pt>
                <c:pt idx="57">
                  <c:v>1.7000000000000031</c:v>
                </c:pt>
                <c:pt idx="58">
                  <c:v>1.8000000000000032</c:v>
                </c:pt>
                <c:pt idx="59">
                  <c:v>1.9000000000000032</c:v>
                </c:pt>
                <c:pt idx="60">
                  <c:v>2.0000000000000031</c:v>
                </c:pt>
                <c:pt idx="61">
                  <c:v>2.1000000000000032</c:v>
                </c:pt>
                <c:pt idx="62">
                  <c:v>2.2000000000000033</c:v>
                </c:pt>
                <c:pt idx="63">
                  <c:v>2.3000000000000034</c:v>
                </c:pt>
                <c:pt idx="64">
                  <c:v>2.4000000000000035</c:v>
                </c:pt>
                <c:pt idx="65">
                  <c:v>2.5000000000000036</c:v>
                </c:pt>
                <c:pt idx="66">
                  <c:v>2.6000000000000036</c:v>
                </c:pt>
                <c:pt idx="67">
                  <c:v>2.7000000000000037</c:v>
                </c:pt>
                <c:pt idx="68">
                  <c:v>2.8000000000000038</c:v>
                </c:pt>
                <c:pt idx="69">
                  <c:v>2.9000000000000039</c:v>
                </c:pt>
                <c:pt idx="70">
                  <c:v>3.000000000000004</c:v>
                </c:pt>
                <c:pt idx="71">
                  <c:v>3.1000000000000041</c:v>
                </c:pt>
                <c:pt idx="72">
                  <c:v>3.2000000000000042</c:v>
                </c:pt>
                <c:pt idx="73">
                  <c:v>3.3000000000000043</c:v>
                </c:pt>
                <c:pt idx="74">
                  <c:v>3.4000000000000044</c:v>
                </c:pt>
                <c:pt idx="75">
                  <c:v>3.5000000000000044</c:v>
                </c:pt>
                <c:pt idx="76">
                  <c:v>3.6000000000000045</c:v>
                </c:pt>
                <c:pt idx="77">
                  <c:v>3.7000000000000046</c:v>
                </c:pt>
                <c:pt idx="78">
                  <c:v>3.8000000000000047</c:v>
                </c:pt>
                <c:pt idx="79">
                  <c:v>3.9000000000000048</c:v>
                </c:pt>
                <c:pt idx="80">
                  <c:v>4.0000000000000044</c:v>
                </c:pt>
              </c:numCache>
            </c:numRef>
          </c:cat>
          <c:val>
            <c:numRef>
              <c:f>Kappa!$Y$10:$Y$91</c:f>
              <c:numCache>
                <c:formatCode>General</c:formatCode>
                <c:ptCount val="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8.7268269504574606E-4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E7-4EDA-AA23-F9FF775F8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555552"/>
        <c:axId val="58555072"/>
      </c:barChart>
      <c:catAx>
        <c:axId val="724004624"/>
        <c:scaling>
          <c:orientation val="minMax"/>
        </c:scaling>
        <c:delete val="0"/>
        <c:axPos val="b"/>
        <c:numFmt formatCode="#,##0.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24005584"/>
        <c:crosses val="autoZero"/>
        <c:auto val="1"/>
        <c:lblAlgn val="ctr"/>
        <c:lblOffset val="100"/>
        <c:tickLblSkip val="11"/>
        <c:tickMarkSkip val="3"/>
        <c:noMultiLvlLbl val="0"/>
      </c:catAx>
      <c:valAx>
        <c:axId val="724005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24004624"/>
        <c:crosses val="autoZero"/>
        <c:crossBetween val="between"/>
        <c:majorUnit val="0.1"/>
      </c:valAx>
      <c:valAx>
        <c:axId val="58555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555552"/>
        <c:crosses val="max"/>
        <c:crossBetween val="between"/>
      </c:valAx>
      <c:catAx>
        <c:axId val="585555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85550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494116360454943"/>
          <c:y val="0.11176235336362401"/>
          <c:w val="0.31456211723534561"/>
          <c:h val="6.78623981061833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noFill/>
    <a:ln w="19050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112602</xdr:colOff>
      <xdr:row>0</xdr:row>
      <xdr:rowOff>0</xdr:rowOff>
    </xdr:from>
    <xdr:to>
      <xdr:col>14</xdr:col>
      <xdr:colOff>775542</xdr:colOff>
      <xdr:row>16</xdr:row>
      <xdr:rowOff>160019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4D83303-165C-960E-54B6-DF46580DFC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541855</xdr:colOff>
      <xdr:row>0</xdr:row>
      <xdr:rowOff>411620</xdr:rowOff>
    </xdr:from>
    <xdr:to>
      <xdr:col>13</xdr:col>
      <xdr:colOff>33864</xdr:colOff>
      <xdr:row>8</xdr:row>
      <xdr:rowOff>128198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A9CC374-052F-7D4F-13EA-B0755EA814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67734</xdr:colOff>
      <xdr:row>2</xdr:row>
      <xdr:rowOff>143934</xdr:rowOff>
    </xdr:from>
    <xdr:ext cx="1244600" cy="54155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5602C58D-9171-0FDE-0CFB-7B322E077F75}"/>
                </a:ext>
              </a:extLst>
            </xdr:cNvPr>
            <xdr:cNvSpPr txBox="1"/>
          </xdr:nvSpPr>
          <xdr:spPr>
            <a:xfrm>
              <a:off x="67734" y="948267"/>
              <a:ext cx="1244600" cy="5415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𝜿</m:t>
                    </m:r>
                    <m:r>
                      <a:rPr lang="es-E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s-ES" sz="16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s-ES" sz="16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s-ES" sz="16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𝑷</m:t>
                            </m:r>
                            <m:r>
                              <a:rPr lang="es-ES" sz="16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</m:e>
                        </m:acc>
                        <m:r>
                          <a:rPr lang="es-ES" sz="16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 </m:t>
                        </m:r>
                        <m:acc>
                          <m:accPr>
                            <m:chr m:val="̅"/>
                            <m:ctrlPr>
                              <a:rPr lang="es-ES" sz="16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accPr>
                          <m:e>
                            <m:sSub>
                              <m:sSubPr>
                                <m:ctrlPr>
                                  <a:rPr lang="es-ES" sz="16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𝑷</m:t>
                                </m:r>
                              </m:e>
                              <m:sub>
                                <m:r>
                                  <a:rPr lang="es-ES" sz="16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𝒆</m:t>
                                </m:r>
                              </m:sub>
                            </m:sSub>
                          </m:e>
                        </m:acc>
                      </m:num>
                      <m:den>
                        <m:r>
                          <a:rPr lang="es-ES" sz="16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ES" sz="16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ES" sz="16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− </m:t>
                        </m:r>
                        <m:acc>
                          <m:accPr>
                            <m:chr m:val="̅"/>
                            <m:ctrlPr>
                              <a:rPr lang="es-ES" sz="16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accPr>
                          <m:e>
                            <m:sSub>
                              <m:sSubPr>
                                <m:ctrlPr>
                                  <a:rPr lang="es-ES" sz="16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𝑷</m:t>
                                </m:r>
                              </m:e>
                              <m:sub>
                                <m:r>
                                  <a:rPr lang="es-ES" sz="16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𝒆</m:t>
                                </m:r>
                              </m:sub>
                            </m:sSub>
                          </m:e>
                        </m:acc>
                      </m:den>
                    </m:f>
                  </m:oMath>
                </m:oMathPara>
              </a14:m>
              <a:endParaRPr lang="es-ES" sz="1600" b="1"/>
            </a:p>
          </xdr:txBody>
        </xdr:sp>
      </mc:Choice>
      <mc:Fallback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5602C58D-9171-0FDE-0CFB-7B322E077F75}"/>
                </a:ext>
              </a:extLst>
            </xdr:cNvPr>
            <xdr:cNvSpPr txBox="1"/>
          </xdr:nvSpPr>
          <xdr:spPr>
            <a:xfrm>
              <a:off x="67734" y="948267"/>
              <a:ext cx="1244600" cy="5415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6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𝜿=  ((𝑷 ) ̅− (𝑷_𝒆 ) ̅)/( 𝟏 − (𝑷_𝒆 ) ̅ )</a:t>
              </a:r>
              <a:endParaRPr lang="es-ES" sz="1600" b="1"/>
            </a:p>
          </xdr:txBody>
        </xdr:sp>
      </mc:Fallback>
    </mc:AlternateContent>
    <xdr:clientData/>
  </xdr:oneCellAnchor>
  <xdr:twoCellAnchor>
    <xdr:from>
      <xdr:col>0</xdr:col>
      <xdr:colOff>84667</xdr:colOff>
      <xdr:row>5</xdr:row>
      <xdr:rowOff>177801</xdr:rowOff>
    </xdr:from>
    <xdr:to>
      <xdr:col>2</xdr:col>
      <xdr:colOff>76200</xdr:colOff>
      <xdr:row>11</xdr:row>
      <xdr:rowOff>110067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9ADD7214-FD88-6E42-ED0C-47FB97818089}"/>
                </a:ext>
              </a:extLst>
            </xdr:cNvPr>
            <xdr:cNvSpPr txBox="1"/>
          </xdr:nvSpPr>
          <xdr:spPr>
            <a:xfrm>
              <a:off x="84667" y="1591734"/>
              <a:ext cx="2226733" cy="115146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ES" sz="1200" b="1"/>
                <a:t>Where:</a:t>
              </a:r>
            </a:p>
            <a:p>
              <a:endParaRPr lang="es-ES" sz="1200" b="1"/>
            </a:p>
            <a:p>
              <a14:m>
                <m:oMath xmlns:m="http://schemas.openxmlformats.org/officeDocument/2006/math">
                  <m:acc>
                    <m:accPr>
                      <m:chr m:val="̅"/>
                      <m:ctrlPr>
                        <a:rPr lang="es-ES" sz="1200" b="0" i="1">
                          <a:latin typeface="Cambria Math" panose="02040503050406030204" pitchFamily="18" charset="0"/>
                        </a:rPr>
                      </m:ctrlPr>
                    </m:accPr>
                    <m:e>
                      <m:r>
                        <a:rPr lang="es-ES" sz="1200" b="0" i="1">
                          <a:latin typeface="Cambria Math" panose="02040503050406030204" pitchFamily="18" charset="0"/>
                        </a:rPr>
                        <m:t>𝑃</m:t>
                      </m:r>
                    </m:e>
                  </m:acc>
                </m:oMath>
              </a14:m>
              <a:r>
                <a:rPr lang="es-ES" sz="1200" b="0" i="1"/>
                <a:t>: Actual observed concordance.</a:t>
              </a:r>
            </a:p>
            <a:p>
              <a14:m>
                <m:oMath xmlns:m="http://schemas.openxmlformats.org/officeDocument/2006/math">
                  <m:acc>
                    <m:accPr>
                      <m:chr m:val="̅"/>
                      <m:ctrlPr>
                        <a:rPr lang="es-ES" sz="1200" b="0" i="1">
                          <a:latin typeface="Cambria Math" panose="02040503050406030204" pitchFamily="18" charset="0"/>
                        </a:rPr>
                      </m:ctrlPr>
                    </m:accPr>
                    <m:e>
                      <m:sSub>
                        <m:sSubPr>
                          <m:ctrlPr>
                            <a:rPr lang="es-ES" sz="12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s-ES" sz="1200" b="0" i="1">
                              <a:latin typeface="Cambria Math" panose="02040503050406030204" pitchFamily="18" charset="0"/>
                            </a:rPr>
                            <m:t>𝑃</m:t>
                          </m:r>
                        </m:e>
                        <m:sub>
                          <m:r>
                            <a:rPr lang="es-ES" sz="1200" b="0" i="1">
                              <a:latin typeface="Cambria Math" panose="02040503050406030204" pitchFamily="18" charset="0"/>
                            </a:rPr>
                            <m:t>𝑒</m:t>
                          </m:r>
                        </m:sub>
                      </m:sSub>
                    </m:e>
                  </m:acc>
                </m:oMath>
              </a14:m>
              <a:r>
                <a:rPr lang="es-ES" sz="1200" b="0" i="1"/>
                <a:t>: Concordance</a:t>
              </a:r>
              <a:r>
                <a:rPr lang="es-ES" sz="1200" b="0" i="1" baseline="0"/>
                <a:t> obtained by chance</a:t>
              </a:r>
              <a:endParaRPr lang="es-ES" sz="1200" b="0" i="1"/>
            </a:p>
          </xdr:txBody>
        </xdr:sp>
      </mc:Choice>
      <mc:Fallback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9ADD7214-FD88-6E42-ED0C-47FB97818089}"/>
                </a:ext>
              </a:extLst>
            </xdr:cNvPr>
            <xdr:cNvSpPr txBox="1"/>
          </xdr:nvSpPr>
          <xdr:spPr>
            <a:xfrm>
              <a:off x="84667" y="1591734"/>
              <a:ext cx="2226733" cy="115146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ES" sz="1200" b="1"/>
                <a:t>Where:</a:t>
              </a:r>
            </a:p>
            <a:p>
              <a:endParaRPr lang="es-ES" sz="1200" b="1"/>
            </a:p>
            <a:p>
              <a:r>
                <a:rPr lang="es-ES" sz="1200" b="0" i="0">
                  <a:latin typeface="Cambria Math" panose="02040503050406030204" pitchFamily="18" charset="0"/>
                </a:rPr>
                <a:t>𝑃 ̅</a:t>
              </a:r>
              <a:r>
                <a:rPr lang="es-ES" sz="1200" b="0" i="1"/>
                <a:t>: Actual observed concordance.</a:t>
              </a:r>
            </a:p>
            <a:p>
              <a:r>
                <a:rPr lang="es-ES" sz="1200" b="0" i="0">
                  <a:latin typeface="Cambria Math" panose="02040503050406030204" pitchFamily="18" charset="0"/>
                </a:rPr>
                <a:t>(𝑃_𝑒 ) ̅</a:t>
              </a:r>
              <a:r>
                <a:rPr lang="es-ES" sz="1200" b="0" i="1"/>
                <a:t>: Concordance</a:t>
              </a:r>
              <a:r>
                <a:rPr lang="es-ES" sz="1200" b="0" i="1" baseline="0"/>
                <a:t> obtained by chance</a:t>
              </a:r>
              <a:endParaRPr lang="es-ES" sz="1200" b="0" i="1"/>
            </a:p>
          </xdr:txBody>
        </xdr:sp>
      </mc:Fallback>
    </mc:AlternateContent>
    <xdr:clientData/>
  </xdr:twoCellAnchor>
  <xdr:oneCellAnchor>
    <xdr:from>
      <xdr:col>9</xdr:col>
      <xdr:colOff>457200</xdr:colOff>
      <xdr:row>11</xdr:row>
      <xdr:rowOff>0</xdr:rowOff>
    </xdr:from>
    <xdr:ext cx="65" cy="172227"/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5FB00D78-F468-EBFC-756B-45F5F07E6126}"/>
            </a:ext>
          </a:extLst>
        </xdr:cNvPr>
        <xdr:cNvSpPr txBox="1"/>
      </xdr:nvSpPr>
      <xdr:spPr>
        <a:xfrm>
          <a:off x="7416800" y="2235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10</xdr:col>
      <xdr:colOff>491069</xdr:colOff>
      <xdr:row>8</xdr:row>
      <xdr:rowOff>59264</xdr:rowOff>
    </xdr:from>
    <xdr:to>
      <xdr:col>11</xdr:col>
      <xdr:colOff>414870</xdr:colOff>
      <xdr:row>10</xdr:row>
      <xdr:rowOff>33863</xdr:rowOff>
    </xdr:to>
    <xdr:sp macro="" textlink="H3">
      <xdr:nvSpPr>
        <xdr:cNvPr id="16" name="CuadroTexto 15">
          <a:extLst>
            <a:ext uri="{FF2B5EF4-FFF2-40B4-BE49-F238E27FC236}">
              <a16:creationId xmlns:a16="http://schemas.microsoft.com/office/drawing/2014/main" id="{7228E2A5-4DF6-7CB4-3BC9-EAE984F384F5}"/>
            </a:ext>
          </a:extLst>
        </xdr:cNvPr>
        <xdr:cNvSpPr txBox="1"/>
      </xdr:nvSpPr>
      <xdr:spPr>
        <a:xfrm>
          <a:off x="8932336" y="2082797"/>
          <a:ext cx="719667" cy="380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9530412-9611-448E-9B84-FA02B3293118}" type="TxLink">
            <a:rPr lang="en-US" sz="1600" b="1" i="0" u="none" strike="noStrike">
              <a:solidFill>
                <a:srgbClr val="000000"/>
              </a:solidFill>
              <a:latin typeface="Aptos" panose="020B0004020202020204" pitchFamily="34" charset="0"/>
            </a:rPr>
            <a:pPr algn="ctr"/>
            <a:t>0,773</a:t>
          </a:fld>
          <a:endParaRPr lang="es-ES" sz="1400">
            <a:latin typeface="Aptos" panose="020B0004020202020204" pitchFamily="34" charset="0"/>
          </a:endParaRPr>
        </a:p>
      </xdr:txBody>
    </xdr:sp>
    <xdr:clientData/>
  </xdr:twoCellAnchor>
  <xdr:twoCellAnchor>
    <xdr:from>
      <xdr:col>8</xdr:col>
      <xdr:colOff>270935</xdr:colOff>
      <xdr:row>0</xdr:row>
      <xdr:rowOff>280247</xdr:rowOff>
    </xdr:from>
    <xdr:to>
      <xdr:col>13</xdr:col>
      <xdr:colOff>609601</xdr:colOff>
      <xdr:row>10</xdr:row>
      <xdr:rowOff>110067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7DA2A7A2-EEBC-4BD2-CBFC-EB2764CB6956}"/>
            </a:ext>
          </a:extLst>
        </xdr:cNvPr>
        <xdr:cNvSpPr/>
      </xdr:nvSpPr>
      <xdr:spPr>
        <a:xfrm>
          <a:off x="7120468" y="280247"/>
          <a:ext cx="4318000" cy="2259753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270934</xdr:colOff>
      <xdr:row>10</xdr:row>
      <xdr:rowOff>135467</xdr:rowOff>
    </xdr:from>
    <xdr:to>
      <xdr:col>14</xdr:col>
      <xdr:colOff>67734</xdr:colOff>
      <xdr:row>25</xdr:row>
      <xdr:rowOff>177801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034B3CD-B47B-89BB-D89A-E50C491FAA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279404</xdr:colOff>
      <xdr:row>10</xdr:row>
      <xdr:rowOff>187113</xdr:rowOff>
    </xdr:from>
    <xdr:to>
      <xdr:col>13</xdr:col>
      <xdr:colOff>626533</xdr:colOff>
      <xdr:row>25</xdr:row>
      <xdr:rowOff>169335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9D0EB385-AFDC-40B9-A744-98540CF2861F}"/>
            </a:ext>
          </a:extLst>
        </xdr:cNvPr>
        <xdr:cNvSpPr/>
      </xdr:nvSpPr>
      <xdr:spPr>
        <a:xfrm>
          <a:off x="7128937" y="2617046"/>
          <a:ext cx="4326463" cy="2903222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389463</xdr:colOff>
      <xdr:row>20</xdr:row>
      <xdr:rowOff>186265</xdr:rowOff>
    </xdr:from>
    <xdr:to>
      <xdr:col>11</xdr:col>
      <xdr:colOff>313264</xdr:colOff>
      <xdr:row>22</xdr:row>
      <xdr:rowOff>177798</xdr:rowOff>
    </xdr:to>
    <xdr:sp macro="" textlink="$H$9">
      <xdr:nvSpPr>
        <xdr:cNvPr id="20" name="CuadroTexto 19">
          <a:extLst>
            <a:ext uri="{FF2B5EF4-FFF2-40B4-BE49-F238E27FC236}">
              <a16:creationId xmlns:a16="http://schemas.microsoft.com/office/drawing/2014/main" id="{48A89F8B-D27E-49B4-8AE2-DE0246D0961D}"/>
            </a:ext>
          </a:extLst>
        </xdr:cNvPr>
        <xdr:cNvSpPr txBox="1"/>
      </xdr:nvSpPr>
      <xdr:spPr>
        <a:xfrm>
          <a:off x="8830730" y="4563532"/>
          <a:ext cx="719667" cy="380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345212E-9824-487A-A029-DF49C997FE82}" type="TxLink">
            <a:rPr lang="en-US" sz="1600" b="1" i="0" u="none" strike="noStrike">
              <a:solidFill>
                <a:schemeClr val="tx2"/>
              </a:solidFill>
              <a:latin typeface="Aptos Narrow"/>
            </a:rPr>
            <a:pPr algn="ctr"/>
            <a:t>25,40</a:t>
          </a:fld>
          <a:endParaRPr lang="es-ES" sz="1600" b="1">
            <a:solidFill>
              <a:schemeClr val="tx2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10</xdr:col>
      <xdr:colOff>364063</xdr:colOff>
      <xdr:row>19</xdr:row>
      <xdr:rowOff>50798</xdr:rowOff>
    </xdr:from>
    <xdr:to>
      <xdr:col>11</xdr:col>
      <xdr:colOff>355598</xdr:colOff>
      <xdr:row>21</xdr:row>
      <xdr:rowOff>42330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70A7E544-5A45-44A0-BC62-3763BA6D3D1E}"/>
            </a:ext>
          </a:extLst>
        </xdr:cNvPr>
        <xdr:cNvSpPr txBox="1"/>
      </xdr:nvSpPr>
      <xdr:spPr>
        <a:xfrm>
          <a:off x="8805330" y="4233331"/>
          <a:ext cx="787401" cy="380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 strike="noStrike">
              <a:solidFill>
                <a:srgbClr val="000000"/>
              </a:solidFill>
              <a:latin typeface="Aptos Narrow"/>
            </a:rPr>
            <a:t>Z-Score</a:t>
          </a:r>
        </a:p>
      </xdr:txBody>
    </xdr:sp>
    <xdr:clientData/>
  </xdr:twoCellAnchor>
  <xdr:oneCellAnchor>
    <xdr:from>
      <xdr:col>0</xdr:col>
      <xdr:colOff>101600</xdr:colOff>
      <xdr:row>11</xdr:row>
      <xdr:rowOff>127002</xdr:rowOff>
    </xdr:from>
    <xdr:ext cx="862736" cy="51930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34B9DF40-B476-DB7F-8820-05F3073A4441}"/>
                </a:ext>
              </a:extLst>
            </xdr:cNvPr>
            <xdr:cNvSpPr txBox="1"/>
          </xdr:nvSpPr>
          <xdr:spPr>
            <a:xfrm>
              <a:off x="101600" y="2760135"/>
              <a:ext cx="862736" cy="5193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s-ES" sz="12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</m:acc>
                    <m:r>
                      <a:rPr lang="es-ES" sz="12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s-ES" sz="12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𝑁</m:t>
                        </m:r>
                      </m:den>
                    </m:f>
                    <m:nary>
                      <m:naryPr>
                        <m:chr m:val="∑"/>
                        <m:ctrlPr>
                          <a:rPr lang="es-ES" sz="12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ES" sz="12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m:rPr>
                            <m:brk m:alnAt="23"/>
                          </m:rPr>
                          <a:rPr lang="es-ES" sz="12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𝑁</m:t>
                        </m:r>
                      </m:sup>
                      <m:e>
                        <m:sSub>
                          <m:sSubPr>
                            <m:ctrlPr>
                              <a:rPr lang="es-E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2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s-ES" sz="12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ES" sz="1200"/>
            </a:p>
          </xdr:txBody>
        </xdr:sp>
      </mc:Choice>
      <mc:Fallback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34B9DF40-B476-DB7F-8820-05F3073A4441}"/>
                </a:ext>
              </a:extLst>
            </xdr:cNvPr>
            <xdr:cNvSpPr txBox="1"/>
          </xdr:nvSpPr>
          <xdr:spPr>
            <a:xfrm>
              <a:off x="101600" y="2760135"/>
              <a:ext cx="862736" cy="5193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200" b="0" i="0">
                  <a:latin typeface="Cambria Math" panose="02040503050406030204" pitchFamily="18" charset="0"/>
                </a:rPr>
                <a:t>𝑃 ̅=  1/𝑁 ∑_(𝑖=1)^𝑁▒𝑃_𝑖 </a:t>
              </a:r>
              <a:endParaRPr lang="es-ES" sz="1200"/>
            </a:p>
          </xdr:txBody>
        </xdr:sp>
      </mc:Fallback>
    </mc:AlternateContent>
    <xdr:clientData/>
  </xdr:oneCellAnchor>
  <xdr:oneCellAnchor>
    <xdr:from>
      <xdr:col>0</xdr:col>
      <xdr:colOff>93133</xdr:colOff>
      <xdr:row>14</xdr:row>
      <xdr:rowOff>135471</xdr:rowOff>
    </xdr:from>
    <xdr:ext cx="1923860" cy="59452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A23DA1D1-867B-AC39-8C9D-C73D85378267}"/>
                </a:ext>
              </a:extLst>
            </xdr:cNvPr>
            <xdr:cNvSpPr txBox="1"/>
          </xdr:nvSpPr>
          <xdr:spPr>
            <a:xfrm>
              <a:off x="93133" y="3361271"/>
              <a:ext cx="1923860" cy="5945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2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ES" sz="12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s-ES" sz="12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s-ES" sz="12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2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  <m:r>
                              <a:rPr lang="es-ES" sz="12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  <m:d>
                      <m:dPr>
                        <m:ctrlPr>
                          <a:rPr lang="es-ES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nary>
                          <m:naryPr>
                            <m:chr m:val="∑"/>
                            <m:ctrlPr>
                              <a:rPr lang="es-ES" sz="12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s-ES" sz="12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  <m:r>
                              <a:rPr lang="es-ES" sz="1200" b="0" i="1">
                                <a:latin typeface="Cambria Math" panose="02040503050406030204" pitchFamily="18" charset="0"/>
                              </a:rPr>
                              <m:t>= </m:t>
                            </m:r>
                            <m:r>
                              <m:rPr>
                                <m:brk m:alnAt="23"/>
                              </m:rPr>
                              <a:rPr lang="es-ES" sz="12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s-ES" sz="12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sup>
                          <m:e>
                            <m:sSubSup>
                              <m:sSubSupPr>
                                <m:ctrlPr>
                                  <a:rPr lang="es-ES" sz="12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s-ES" sz="12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b>
                                <m:r>
                                  <a:rPr lang="es-ES" sz="1200" b="0" i="1">
                                    <a:latin typeface="Cambria Math" panose="02040503050406030204" pitchFamily="18" charset="0"/>
                                  </a:rPr>
                                  <m:t>𝑖𝑗</m:t>
                                </m:r>
                              </m:sub>
                              <m:sup>
                                <m:r>
                                  <a:rPr lang="es-ES" sz="12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  <m:r>
                              <a:rPr lang="es-ES" sz="12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s-ES" sz="12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</m:nary>
                      </m:e>
                    </m:d>
                  </m:oMath>
                </m:oMathPara>
              </a14:m>
              <a:endParaRPr lang="es-ES" sz="1200"/>
            </a:p>
          </xdr:txBody>
        </xdr:sp>
      </mc:Choice>
      <mc:Fallback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A23DA1D1-867B-AC39-8C9D-C73D85378267}"/>
                </a:ext>
              </a:extLst>
            </xdr:cNvPr>
            <xdr:cNvSpPr txBox="1"/>
          </xdr:nvSpPr>
          <xdr:spPr>
            <a:xfrm>
              <a:off x="93133" y="3361271"/>
              <a:ext cx="1923860" cy="5945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200" b="0" i="0">
                  <a:latin typeface="Cambria Math" panose="02040503050406030204" pitchFamily="18" charset="0"/>
                </a:rPr>
                <a:t>𝑃_𝑖=  1/𝑛(𝑛−1)  (∑_(𝑗= 1)^𝑘▒〖𝑛_𝑖𝑗^2−𝑛〗)</a:t>
              </a:r>
              <a:endParaRPr lang="es-ES" sz="1200"/>
            </a:p>
          </xdr:txBody>
        </xdr:sp>
      </mc:Fallback>
    </mc:AlternateContent>
    <xdr:clientData/>
  </xdr:oneCellAnchor>
  <xdr:oneCellAnchor>
    <xdr:from>
      <xdr:col>0</xdr:col>
      <xdr:colOff>101600</xdr:colOff>
      <xdr:row>18</xdr:row>
      <xdr:rowOff>67739</xdr:rowOff>
    </xdr:from>
    <xdr:ext cx="755591" cy="54393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E5163E05-6F6F-6753-D536-E12B3F8E1CBD}"/>
                </a:ext>
              </a:extLst>
            </xdr:cNvPr>
            <xdr:cNvSpPr txBox="1"/>
          </xdr:nvSpPr>
          <xdr:spPr>
            <a:xfrm>
              <a:off x="101600" y="4072472"/>
              <a:ext cx="755591" cy="5439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s-ES" sz="12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s-ES" sz="12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2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s-ES" sz="12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sub>
                        </m:sSub>
                      </m:e>
                    </m:acc>
                    <m:r>
                      <a:rPr lang="es-ES" sz="12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ctrlPr>
                          <a:rPr lang="es-ES" sz="12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ES" sz="1200" b="0" i="1">
                            <a:latin typeface="Cambria Math" panose="02040503050406030204" pitchFamily="18" charset="0"/>
                          </a:rPr>
                          <m:t>𝑗</m:t>
                        </m:r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m:rPr>
                            <m:brk m:alnAt="23"/>
                          </m:rPr>
                          <a:rPr lang="es-ES" sz="12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𝑘</m:t>
                        </m:r>
                      </m:sup>
                      <m:e>
                        <m:sSubSup>
                          <m:sSubSupPr>
                            <m:ctrlPr>
                              <a:rPr lang="es-ES" sz="12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ES" sz="12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e>
                          <m:sub>
                            <m:r>
                              <a:rPr lang="es-ES" sz="12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</m:sub>
                          <m:sup>
                            <m:r>
                              <a:rPr lang="es-ES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nary>
                  </m:oMath>
                </m:oMathPara>
              </a14:m>
              <a:endParaRPr lang="es-ES" sz="1200"/>
            </a:p>
          </xdr:txBody>
        </xdr:sp>
      </mc:Choice>
      <mc:Fallback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E5163E05-6F6F-6753-D536-E12B3F8E1CBD}"/>
                </a:ext>
              </a:extLst>
            </xdr:cNvPr>
            <xdr:cNvSpPr txBox="1"/>
          </xdr:nvSpPr>
          <xdr:spPr>
            <a:xfrm>
              <a:off x="101600" y="4072472"/>
              <a:ext cx="755591" cy="5439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200" i="0">
                  <a:latin typeface="Cambria Math" panose="02040503050406030204" pitchFamily="18" charset="0"/>
                </a:rPr>
                <a:t>(</a:t>
              </a:r>
              <a:r>
                <a:rPr lang="es-ES" sz="1200" b="0" i="0">
                  <a:latin typeface="Cambria Math" panose="02040503050406030204" pitchFamily="18" charset="0"/>
                </a:rPr>
                <a:t>𝑃_𝑒 ) ̅=∑_(𝑗=1)^𝑘▒𝑝_𝑗^2 </a:t>
              </a:r>
              <a:endParaRPr lang="es-ES" sz="1200"/>
            </a:p>
          </xdr:txBody>
        </xdr:sp>
      </mc:Fallback>
    </mc:AlternateContent>
    <xdr:clientData/>
  </xdr:oneCellAnchor>
  <xdr:oneCellAnchor>
    <xdr:from>
      <xdr:col>0</xdr:col>
      <xdr:colOff>84667</xdr:colOff>
      <xdr:row>21</xdr:row>
      <xdr:rowOff>143935</xdr:rowOff>
    </xdr:from>
    <xdr:ext cx="1056700" cy="51930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5E3FAC1C-7914-FB03-E4A5-556C2F03C56D}"/>
                </a:ext>
              </a:extLst>
            </xdr:cNvPr>
            <xdr:cNvSpPr txBox="1"/>
          </xdr:nvSpPr>
          <xdr:spPr>
            <a:xfrm>
              <a:off x="84667" y="4732868"/>
              <a:ext cx="1056700" cy="5193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S" sz="12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s-ES" sz="12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s-ES" sz="12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𝑛𝑁</m:t>
                        </m:r>
                      </m:den>
                    </m:f>
                    <m:nary>
                      <m:naryPr>
                        <m:chr m:val="∑"/>
                        <m:ctrlPr>
                          <a:rPr lang="es-ES" sz="12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ES" sz="12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m:rPr>
                            <m:brk m:alnAt="23"/>
                          </m:rPr>
                          <a:rPr lang="es-ES" sz="12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ES" sz="1200" b="0" i="1">
                            <a:latin typeface="Cambria Math" panose="02040503050406030204" pitchFamily="18" charset="0"/>
                          </a:rPr>
                          <m:t>𝑁</m:t>
                        </m:r>
                      </m:sup>
                      <m:e>
                        <m:sSub>
                          <m:sSubPr>
                            <m:ctrlPr>
                              <a:rPr lang="es-E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2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s-ES" sz="1200" b="0" i="1">
                                <a:latin typeface="Cambria Math" panose="02040503050406030204" pitchFamily="18" charset="0"/>
                              </a:rPr>
                              <m:t>𝑖𝑗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ES" sz="1200"/>
            </a:p>
          </xdr:txBody>
        </xdr:sp>
      </mc:Choice>
      <mc:Fallback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5E3FAC1C-7914-FB03-E4A5-556C2F03C56D}"/>
                </a:ext>
              </a:extLst>
            </xdr:cNvPr>
            <xdr:cNvSpPr txBox="1"/>
          </xdr:nvSpPr>
          <xdr:spPr>
            <a:xfrm>
              <a:off x="84667" y="4732868"/>
              <a:ext cx="1056700" cy="5193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200" b="0" i="0">
                  <a:latin typeface="Cambria Math" panose="02040503050406030204" pitchFamily="18" charset="0"/>
                </a:rPr>
                <a:t>𝑝_𝑗=  1/𝑛𝑁 ∑_(𝑖=1)^𝑁▒𝑛_𝑖𝑗 </a:t>
              </a:r>
              <a:endParaRPr lang="es-ES" sz="12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112607</xdr:colOff>
          <xdr:row>0</xdr:row>
          <xdr:rowOff>509693</xdr:rowOff>
        </xdr:from>
        <xdr:to>
          <xdr:col>0</xdr:col>
          <xdr:colOff>934721</xdr:colOff>
          <xdr:row>2</xdr:row>
          <xdr:rowOff>87207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Abadi"/>
                </a:rPr>
                <a:t>RUN 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8BA3A-6CCE-4BEE-A68D-5520B11B7834}">
  <sheetPr codeName="Hoja1"/>
  <dimension ref="A1:Y91"/>
  <sheetViews>
    <sheetView showGridLines="0" tabSelected="1" zoomScale="90" zoomScaleNormal="90" workbookViewId="0">
      <selection activeCell="G2" sqref="G2"/>
    </sheetView>
  </sheetViews>
  <sheetFormatPr baseColWidth="10" defaultColWidth="11.5546875" defaultRowHeight="14.4" x14ac:dyDescent="0.3"/>
  <cols>
    <col min="1" max="1" width="19.77734375" customWidth="1"/>
    <col min="2" max="2" width="12.77734375" customWidth="1"/>
    <col min="7" max="7" width="2.33203125" customWidth="1"/>
    <col min="8" max="8" width="12.109375" customWidth="1"/>
    <col min="9" max="9" width="10.33203125" customWidth="1"/>
    <col min="16" max="16" width="12" bestFit="1" customWidth="1"/>
    <col min="19" max="19" width="21.44140625" customWidth="1"/>
    <col min="22" max="22" width="3" customWidth="1"/>
  </cols>
  <sheetData>
    <row r="1" spans="1:25" s="20" customFormat="1" ht="43.2" customHeight="1" thickBot="1" x14ac:dyDescent="0.35">
      <c r="A1" s="40" t="s">
        <v>44</v>
      </c>
    </row>
    <row r="2" spans="1:25" ht="19.8" customHeight="1" thickBot="1" x14ac:dyDescent="0.35">
      <c r="C2" s="4"/>
      <c r="D2" s="17" t="s">
        <v>0</v>
      </c>
      <c r="E2" s="16" t="s">
        <v>1</v>
      </c>
      <c r="F2" s="18" t="s">
        <v>2</v>
      </c>
      <c r="H2" s="10" t="s">
        <v>35</v>
      </c>
      <c r="T2" s="32" t="s">
        <v>31</v>
      </c>
      <c r="U2" s="21">
        <v>40</v>
      </c>
      <c r="W2" s="28" t="s">
        <v>28</v>
      </c>
      <c r="X2" s="27" t="s">
        <v>29</v>
      </c>
      <c r="Y2" s="26" t="s">
        <v>30</v>
      </c>
    </row>
    <row r="3" spans="1:25" ht="16.2" thickBot="1" x14ac:dyDescent="0.35">
      <c r="C3" s="5" t="s">
        <v>3</v>
      </c>
      <c r="D3" s="13">
        <v>0</v>
      </c>
      <c r="E3" s="13">
        <v>0</v>
      </c>
      <c r="F3" s="11">
        <v>10</v>
      </c>
      <c r="H3" s="19">
        <v>0.77301808066759448</v>
      </c>
      <c r="T3" s="33" t="s">
        <v>33</v>
      </c>
      <c r="U3" s="23">
        <v>30</v>
      </c>
      <c r="W3" s="29" t="s">
        <v>34</v>
      </c>
      <c r="X3" s="22">
        <v>0</v>
      </c>
      <c r="Y3" s="23">
        <v>0</v>
      </c>
    </row>
    <row r="4" spans="1:25" ht="16.2" thickBot="1" x14ac:dyDescent="0.35">
      <c r="C4" s="6" t="s">
        <v>4</v>
      </c>
      <c r="D4" s="14">
        <v>0</v>
      </c>
      <c r="E4" s="14">
        <v>1</v>
      </c>
      <c r="F4" s="11">
        <v>9</v>
      </c>
      <c r="H4" s="41"/>
      <c r="T4" s="33" t="s">
        <v>32</v>
      </c>
      <c r="U4" s="23">
        <v>20</v>
      </c>
      <c r="W4" s="30" t="s">
        <v>28</v>
      </c>
      <c r="X4" s="24">
        <f>X7*COS(W7)</f>
        <v>0.5445702285817754</v>
      </c>
      <c r="Y4" s="25">
        <f>X7*SIN(W7)</f>
        <v>0.47100240566518647</v>
      </c>
    </row>
    <row r="5" spans="1:25" ht="16.2" thickBot="1" x14ac:dyDescent="0.35">
      <c r="C5" s="6" t="s">
        <v>5</v>
      </c>
      <c r="D5" s="14">
        <v>1</v>
      </c>
      <c r="E5" s="14">
        <v>9</v>
      </c>
      <c r="F5" s="11">
        <v>0</v>
      </c>
      <c r="H5" s="10" t="s">
        <v>36</v>
      </c>
      <c r="T5" s="34" t="s">
        <v>27</v>
      </c>
      <c r="U5" s="25">
        <v>90</v>
      </c>
    </row>
    <row r="6" spans="1:25" ht="16.2" thickBot="1" x14ac:dyDescent="0.35">
      <c r="C6" s="6" t="s">
        <v>6</v>
      </c>
      <c r="D6" s="14">
        <v>0</v>
      </c>
      <c r="E6" s="14">
        <v>1</v>
      </c>
      <c r="F6" s="11">
        <v>9</v>
      </c>
      <c r="H6" s="38">
        <v>10</v>
      </c>
      <c r="W6" s="27" t="s">
        <v>37</v>
      </c>
      <c r="X6" s="26" t="s">
        <v>38</v>
      </c>
    </row>
    <row r="7" spans="1:25" ht="16.2" thickBot="1" x14ac:dyDescent="0.35">
      <c r="C7" s="6" t="s">
        <v>7</v>
      </c>
      <c r="D7" s="14">
        <v>0</v>
      </c>
      <c r="E7" s="14">
        <v>10</v>
      </c>
      <c r="F7" s="11">
        <v>0</v>
      </c>
      <c r="W7" s="31">
        <f>(1-H3) * (PI())</f>
        <v>0.71308473027239627</v>
      </c>
      <c r="X7" s="25">
        <v>0.72</v>
      </c>
    </row>
    <row r="8" spans="1:25" ht="16.2" thickBot="1" x14ac:dyDescent="0.35">
      <c r="C8" s="6" t="s">
        <v>8</v>
      </c>
      <c r="D8" s="14">
        <v>9</v>
      </c>
      <c r="E8" s="14">
        <v>0</v>
      </c>
      <c r="F8" s="11">
        <v>1</v>
      </c>
      <c r="H8" s="10" t="s">
        <v>39</v>
      </c>
    </row>
    <row r="9" spans="1:25" ht="16.2" thickBot="1" x14ac:dyDescent="0.35">
      <c r="C9" s="6" t="s">
        <v>9</v>
      </c>
      <c r="D9" s="14">
        <v>0</v>
      </c>
      <c r="E9" s="14">
        <v>0</v>
      </c>
      <c r="F9" s="11">
        <v>10</v>
      </c>
      <c r="H9" s="39">
        <v>25.403966408459379</v>
      </c>
    </row>
    <row r="10" spans="1:25" ht="16.2" thickBot="1" x14ac:dyDescent="0.35">
      <c r="C10" s="6" t="s">
        <v>10</v>
      </c>
      <c r="D10" s="14">
        <v>0</v>
      </c>
      <c r="E10" s="14">
        <v>0</v>
      </c>
      <c r="F10" s="11">
        <v>10</v>
      </c>
      <c r="W10" s="37" t="s">
        <v>40</v>
      </c>
      <c r="X10" s="8" t="s">
        <v>41</v>
      </c>
      <c r="Y10" s="9" t="s">
        <v>42</v>
      </c>
    </row>
    <row r="11" spans="1:25" ht="16.2" thickBot="1" x14ac:dyDescent="0.35">
      <c r="C11" s="6" t="s">
        <v>11</v>
      </c>
      <c r="D11" s="14">
        <v>10</v>
      </c>
      <c r="E11" s="14">
        <v>0</v>
      </c>
      <c r="F11" s="11">
        <v>0</v>
      </c>
      <c r="H11" s="10" t="s">
        <v>43</v>
      </c>
      <c r="W11" s="35">
        <v>-4</v>
      </c>
      <c r="X11">
        <f>_xlfn.NORM.DIST(W11, 0, 1, FALSE)</f>
        <v>1.3383022576488537E-4</v>
      </c>
      <c r="Y11" s="1">
        <v>0</v>
      </c>
    </row>
    <row r="12" spans="1:25" ht="16.2" thickBot="1" x14ac:dyDescent="0.35">
      <c r="C12" s="6" t="s">
        <v>12</v>
      </c>
      <c r="D12" s="14">
        <v>1</v>
      </c>
      <c r="E12" s="14">
        <v>0</v>
      </c>
      <c r="F12" s="11">
        <v>9</v>
      </c>
      <c r="H12" s="42">
        <v>9.2592592592592596E-4</v>
      </c>
      <c r="W12" s="35">
        <v>-3.9</v>
      </c>
      <c r="X12">
        <f>_xlfn.NORM.DIST(W12, 0, 1, FALSE)</f>
        <v>1.9865547139277272E-4</v>
      </c>
      <c r="Y12" s="1">
        <v>0</v>
      </c>
    </row>
    <row r="13" spans="1:25" ht="15.6" x14ac:dyDescent="0.3">
      <c r="C13" s="6" t="s">
        <v>13</v>
      </c>
      <c r="D13" s="14">
        <v>0</v>
      </c>
      <c r="E13" s="14">
        <v>0</v>
      </c>
      <c r="F13" s="11">
        <v>10</v>
      </c>
      <c r="W13" s="35">
        <v>-3.8</v>
      </c>
      <c r="X13">
        <f>_xlfn.NORM.DIST(W13, 0, 1, FALSE)</f>
        <v>2.9194692579146027E-4</v>
      </c>
      <c r="Y13" s="1">
        <v>0</v>
      </c>
    </row>
    <row r="14" spans="1:25" ht="15.6" x14ac:dyDescent="0.3">
      <c r="C14" s="6" t="s">
        <v>14</v>
      </c>
      <c r="D14" s="14">
        <v>9</v>
      </c>
      <c r="E14" s="14">
        <v>0</v>
      </c>
      <c r="F14" s="11">
        <v>1</v>
      </c>
      <c r="W14" s="35">
        <v>-3.6999999999999997</v>
      </c>
      <c r="X14">
        <f>_xlfn.NORM.DIST(W14, 0, 1, FALSE)</f>
        <v>4.2478027055075219E-4</v>
      </c>
      <c r="Y14" s="1">
        <v>0</v>
      </c>
    </row>
    <row r="15" spans="1:25" ht="15.6" x14ac:dyDescent="0.3">
      <c r="C15" s="6" t="s">
        <v>15</v>
      </c>
      <c r="D15" s="14">
        <v>10</v>
      </c>
      <c r="E15" s="14">
        <v>0</v>
      </c>
      <c r="F15" s="11">
        <v>0</v>
      </c>
      <c r="W15" s="35">
        <v>-3.5999999999999996</v>
      </c>
      <c r="X15">
        <f>_xlfn.NORM.DIST(W15, 0, 1, FALSE)</f>
        <v>6.1190193011377298E-4</v>
      </c>
      <c r="Y15" s="1">
        <v>0</v>
      </c>
    </row>
    <row r="16" spans="1:25" ht="15.6" x14ac:dyDescent="0.3">
      <c r="C16" s="6" t="s">
        <v>16</v>
      </c>
      <c r="D16" s="14">
        <v>9</v>
      </c>
      <c r="E16" s="14">
        <v>0</v>
      </c>
      <c r="F16" s="11">
        <v>1</v>
      </c>
      <c r="W16" s="35">
        <v>-3.4999999999999996</v>
      </c>
      <c r="X16">
        <f>_xlfn.NORM.DIST(W16, 0, 1, FALSE)</f>
        <v>8.7268269504576167E-4</v>
      </c>
      <c r="Y16" s="1">
        <v>0</v>
      </c>
    </row>
    <row r="17" spans="3:25" ht="15.6" x14ac:dyDescent="0.3">
      <c r="C17" s="6" t="s">
        <v>17</v>
      </c>
      <c r="D17" s="14">
        <v>9</v>
      </c>
      <c r="E17" s="14">
        <v>1</v>
      </c>
      <c r="F17" s="11">
        <v>0</v>
      </c>
      <c r="W17" s="35">
        <v>-3.3999999999999995</v>
      </c>
      <c r="X17">
        <f>_xlfn.NORM.DIST(W17, 0, 1, FALSE)</f>
        <v>1.232219168473021E-3</v>
      </c>
      <c r="Y17" s="1">
        <v>0</v>
      </c>
    </row>
    <row r="18" spans="3:25" ht="15.6" x14ac:dyDescent="0.3">
      <c r="C18" s="6" t="s">
        <v>18</v>
      </c>
      <c r="D18" s="14">
        <v>9</v>
      </c>
      <c r="E18" s="14">
        <v>1</v>
      </c>
      <c r="F18" s="11">
        <v>0</v>
      </c>
      <c r="W18" s="35">
        <v>-3.2999999999999994</v>
      </c>
      <c r="X18">
        <f>_xlfn.NORM.DIST(W18, 0, 1, FALSE)</f>
        <v>1.7225689390536843E-3</v>
      </c>
      <c r="Y18" s="1">
        <v>0</v>
      </c>
    </row>
    <row r="19" spans="3:25" ht="15.6" x14ac:dyDescent="0.3">
      <c r="C19" s="6" t="s">
        <v>19</v>
      </c>
      <c r="D19" s="14">
        <v>9</v>
      </c>
      <c r="E19" s="14">
        <v>1</v>
      </c>
      <c r="F19" s="11">
        <v>0</v>
      </c>
      <c r="W19" s="35">
        <v>-3.1999999999999993</v>
      </c>
      <c r="X19">
        <f>_xlfn.NORM.DIST(W19, 0, 1, FALSE)</f>
        <v>2.3840882014648486E-3</v>
      </c>
      <c r="Y19" s="1">
        <v>0</v>
      </c>
    </row>
    <row r="20" spans="3:25" ht="15.6" x14ac:dyDescent="0.3">
      <c r="C20" s="6" t="s">
        <v>20</v>
      </c>
      <c r="D20" s="14">
        <v>9</v>
      </c>
      <c r="E20" s="14">
        <v>0</v>
      </c>
      <c r="F20" s="11">
        <v>1</v>
      </c>
      <c r="W20" s="35">
        <v>-3.0999999999999992</v>
      </c>
      <c r="X20">
        <f>_xlfn.NORM.DIST(W20, 0, 1, FALSE)</f>
        <v>3.2668190561999273E-3</v>
      </c>
      <c r="Y20" s="1">
        <v>0</v>
      </c>
    </row>
    <row r="21" spans="3:25" ht="15.6" x14ac:dyDescent="0.3">
      <c r="C21" s="6" t="s">
        <v>21</v>
      </c>
      <c r="D21" s="14">
        <v>9</v>
      </c>
      <c r="E21" s="14">
        <v>1</v>
      </c>
      <c r="F21" s="11">
        <v>0</v>
      </c>
      <c r="W21" s="35">
        <v>-2.9999999999999991</v>
      </c>
      <c r="X21">
        <f>_xlfn.NORM.DIST(W21, 0, 1, FALSE)</f>
        <v>4.4318484119380188E-3</v>
      </c>
      <c r="Y21" s="1">
        <v>0</v>
      </c>
    </row>
    <row r="22" spans="3:25" ht="15.6" x14ac:dyDescent="0.3">
      <c r="C22" s="6" t="s">
        <v>22</v>
      </c>
      <c r="D22" s="14">
        <v>1</v>
      </c>
      <c r="E22" s="14">
        <v>9</v>
      </c>
      <c r="F22" s="11">
        <v>0</v>
      </c>
      <c r="W22" s="35">
        <v>-2.899999999999999</v>
      </c>
      <c r="X22">
        <f>_xlfn.NORM.DIST(W22, 0, 1, FALSE)</f>
        <v>5.9525324197758694E-3</v>
      </c>
      <c r="Y22" s="1">
        <v>0</v>
      </c>
    </row>
    <row r="23" spans="3:25" ht="15.6" x14ac:dyDescent="0.3">
      <c r="C23" s="6" t="s">
        <v>23</v>
      </c>
      <c r="D23" s="14">
        <v>1</v>
      </c>
      <c r="E23" s="14">
        <v>9</v>
      </c>
      <c r="F23" s="11">
        <v>0</v>
      </c>
      <c r="W23" s="35">
        <v>-2.7999999999999989</v>
      </c>
      <c r="X23">
        <f>_xlfn.NORM.DIST(W23, 0, 1, FALSE)</f>
        <v>7.9154515829799894E-3</v>
      </c>
      <c r="Y23" s="1">
        <v>0</v>
      </c>
    </row>
    <row r="24" spans="3:25" ht="15.6" x14ac:dyDescent="0.3">
      <c r="C24" s="6" t="s">
        <v>24</v>
      </c>
      <c r="D24" s="14">
        <v>9</v>
      </c>
      <c r="E24" s="14">
        <v>1</v>
      </c>
      <c r="F24" s="11">
        <v>0</v>
      </c>
      <c r="W24" s="35">
        <v>-2.6999999999999988</v>
      </c>
      <c r="X24">
        <f>_xlfn.NORM.DIST(W24, 0, 1, FALSE)</f>
        <v>1.0420934814422628E-2</v>
      </c>
      <c r="Y24" s="1">
        <v>0</v>
      </c>
    </row>
    <row r="25" spans="3:25" ht="15.6" x14ac:dyDescent="0.3">
      <c r="C25" s="6" t="s">
        <v>25</v>
      </c>
      <c r="D25" s="14">
        <v>9</v>
      </c>
      <c r="E25" s="14">
        <v>1</v>
      </c>
      <c r="F25" s="11">
        <v>0</v>
      </c>
      <c r="W25" s="35">
        <v>-2.5999999999999988</v>
      </c>
      <c r="X25">
        <f>_xlfn.NORM.DIST(W25, 0, 1, FALSE)</f>
        <v>1.3582969233685661E-2</v>
      </c>
      <c r="Y25" s="1">
        <v>0</v>
      </c>
    </row>
    <row r="26" spans="3:25" ht="16.2" thickBot="1" x14ac:dyDescent="0.35">
      <c r="C26" s="7" t="s">
        <v>26</v>
      </c>
      <c r="D26" s="15">
        <v>1</v>
      </c>
      <c r="E26" s="15">
        <v>0</v>
      </c>
      <c r="F26" s="12">
        <v>9</v>
      </c>
      <c r="W26" s="35">
        <v>-2.4999999999999987</v>
      </c>
      <c r="X26">
        <f>_xlfn.NORM.DIST(W26, 0, 1, FALSE)</f>
        <v>1.7528300493568599E-2</v>
      </c>
      <c r="Y26" s="1">
        <v>0</v>
      </c>
    </row>
    <row r="27" spans="3:25" x14ac:dyDescent="0.3">
      <c r="W27" s="35">
        <v>-2.3999999999999986</v>
      </c>
      <c r="X27">
        <f>_xlfn.NORM.DIST(W27, 0, 1, FALSE)</f>
        <v>2.2394530294842969E-2</v>
      </c>
      <c r="Y27" s="1">
        <v>0</v>
      </c>
    </row>
    <row r="28" spans="3:25" x14ac:dyDescent="0.3">
      <c r="W28" s="35">
        <v>-2.2999999999999985</v>
      </c>
      <c r="X28">
        <f>_xlfn.NORM.DIST(W28, 0, 1, FALSE)</f>
        <v>2.8327037741601276E-2</v>
      </c>
      <c r="Y28" s="1">
        <v>0</v>
      </c>
    </row>
    <row r="29" spans="3:25" x14ac:dyDescent="0.3">
      <c r="W29" s="35">
        <v>-2.1999999999999984</v>
      </c>
      <c r="X29">
        <f>_xlfn.NORM.DIST(W29, 0, 1, FALSE)</f>
        <v>3.547459284623157E-2</v>
      </c>
      <c r="Y29" s="1">
        <v>0</v>
      </c>
    </row>
    <row r="30" spans="3:25" x14ac:dyDescent="0.3">
      <c r="W30" s="35">
        <v>-2.0999999999999983</v>
      </c>
      <c r="X30">
        <f>_xlfn.NORM.DIST(W30, 0, 1, FALSE)</f>
        <v>4.3983595980427351E-2</v>
      </c>
      <c r="Y30" s="1">
        <v>0</v>
      </c>
    </row>
    <row r="31" spans="3:25" x14ac:dyDescent="0.3">
      <c r="W31" s="35">
        <v>-1.9999999999999982</v>
      </c>
      <c r="X31">
        <f>_xlfn.NORM.DIST(W31, 0, 1, FALSE)</f>
        <v>5.399096651318825E-2</v>
      </c>
      <c r="Y31" s="1">
        <v>0</v>
      </c>
    </row>
    <row r="32" spans="3:25" x14ac:dyDescent="0.3">
      <c r="W32" s="35">
        <v>-1.8999999999999981</v>
      </c>
      <c r="X32">
        <f>_xlfn.NORM.DIST(W32, 0, 1, FALSE)</f>
        <v>6.5615814774676831E-2</v>
      </c>
      <c r="Y32" s="1">
        <v>0</v>
      </c>
    </row>
    <row r="33" spans="23:25" x14ac:dyDescent="0.3">
      <c r="W33" s="35">
        <v>-1.799999999999998</v>
      </c>
      <c r="X33">
        <f>_xlfn.NORM.DIST(W33, 0, 1, FALSE)</f>
        <v>7.8950158300894427E-2</v>
      </c>
      <c r="Y33" s="1">
        <v>0</v>
      </c>
    </row>
    <row r="34" spans="23:25" x14ac:dyDescent="0.3">
      <c r="W34" s="35">
        <v>-1.699999999999998</v>
      </c>
      <c r="X34">
        <f>_xlfn.NORM.DIST(W34, 0, 1, FALSE)</f>
        <v>9.4049077376887252E-2</v>
      </c>
      <c r="Y34" s="1">
        <v>0</v>
      </c>
    </row>
    <row r="35" spans="23:25" x14ac:dyDescent="0.3">
      <c r="W35" s="35">
        <v>-1.5999999999999979</v>
      </c>
      <c r="X35">
        <f>_xlfn.NORM.DIST(W35, 0, 1, FALSE)</f>
        <v>0.11092083467945592</v>
      </c>
      <c r="Y35" s="1">
        <v>0</v>
      </c>
    </row>
    <row r="36" spans="23:25" x14ac:dyDescent="0.3">
      <c r="W36" s="35">
        <v>-1.4999999999999978</v>
      </c>
      <c r="X36">
        <f>_xlfn.NORM.DIST(W36, 0, 1, FALSE)</f>
        <v>0.12951759566589216</v>
      </c>
      <c r="Y36" s="1">
        <v>0</v>
      </c>
    </row>
    <row r="37" spans="23:25" x14ac:dyDescent="0.3">
      <c r="W37" s="35">
        <v>-1.3999999999999977</v>
      </c>
      <c r="X37">
        <f>_xlfn.NORM.DIST(W37, 0, 1, FALSE)</f>
        <v>0.14972746563574535</v>
      </c>
      <c r="Y37" s="1">
        <v>0</v>
      </c>
    </row>
    <row r="38" spans="23:25" x14ac:dyDescent="0.3">
      <c r="W38" s="35">
        <v>-1.2999999999999976</v>
      </c>
      <c r="X38">
        <f>_xlfn.NORM.DIST(W38, 0, 1, FALSE)</f>
        <v>0.17136859204780791</v>
      </c>
      <c r="Y38" s="1">
        <v>0</v>
      </c>
    </row>
    <row r="39" spans="23:25" x14ac:dyDescent="0.3">
      <c r="W39" s="35">
        <v>-1.1999999999999975</v>
      </c>
      <c r="X39">
        <f>_xlfn.NORM.DIST(W39, 0, 1, FALSE)</f>
        <v>0.19418605498321354</v>
      </c>
      <c r="Y39" s="1">
        <v>0</v>
      </c>
    </row>
    <row r="40" spans="23:25" x14ac:dyDescent="0.3">
      <c r="W40" s="35">
        <v>-1.0999999999999974</v>
      </c>
      <c r="X40">
        <f>_xlfn.NORM.DIST(W40, 0, 1, FALSE)</f>
        <v>0.21785217703255116</v>
      </c>
      <c r="Y40" s="1">
        <v>0</v>
      </c>
    </row>
    <row r="41" spans="23:25" x14ac:dyDescent="0.3">
      <c r="W41" s="35">
        <v>-0.99999999999999745</v>
      </c>
      <c r="X41">
        <f>_xlfn.NORM.DIST(W41, 0, 1, FALSE)</f>
        <v>0.24197072451914398</v>
      </c>
      <c r="Y41" s="1">
        <v>0</v>
      </c>
    </row>
    <row r="42" spans="23:25" x14ac:dyDescent="0.3">
      <c r="W42" s="35">
        <v>-0.89999999999999747</v>
      </c>
      <c r="X42">
        <f>_xlfn.NORM.DIST(W42, 0, 1, FALSE)</f>
        <v>0.26608524989875543</v>
      </c>
      <c r="Y42" s="1">
        <v>0</v>
      </c>
    </row>
    <row r="43" spans="23:25" x14ac:dyDescent="0.3">
      <c r="W43" s="35">
        <v>-0.79999999999999749</v>
      </c>
      <c r="X43">
        <f>_xlfn.NORM.DIST(W43, 0, 1, FALSE)</f>
        <v>0.28969155276148334</v>
      </c>
      <c r="Y43" s="1">
        <v>0</v>
      </c>
    </row>
    <row r="44" spans="23:25" x14ac:dyDescent="0.3">
      <c r="W44" s="35">
        <v>-0.69999999999999751</v>
      </c>
      <c r="X44">
        <f>_xlfn.NORM.DIST(W44, 0, 1, FALSE)</f>
        <v>0.31225393336676183</v>
      </c>
      <c r="Y44" s="1">
        <v>0</v>
      </c>
    </row>
    <row r="45" spans="23:25" x14ac:dyDescent="0.3">
      <c r="W45" s="35">
        <v>-0.59999999999999754</v>
      </c>
      <c r="X45">
        <f>_xlfn.NORM.DIST(W45, 0, 1, FALSE)</f>
        <v>0.33322460289180011</v>
      </c>
      <c r="Y45" s="1">
        <v>0</v>
      </c>
    </row>
    <row r="46" spans="23:25" x14ac:dyDescent="0.3">
      <c r="W46" s="35">
        <v>-0.49999999999999756</v>
      </c>
      <c r="X46">
        <f>_xlfn.NORM.DIST(W46, 0, 1, FALSE)</f>
        <v>0.35206532676429991</v>
      </c>
      <c r="Y46" s="1">
        <v>0</v>
      </c>
    </row>
    <row r="47" spans="23:25" x14ac:dyDescent="0.3">
      <c r="W47" s="35">
        <v>-0.39999999999999758</v>
      </c>
      <c r="X47">
        <f>_xlfn.NORM.DIST(W47, 0, 1, FALSE)</f>
        <v>0.36827014030332367</v>
      </c>
      <c r="Y47" s="1">
        <v>0</v>
      </c>
    </row>
    <row r="48" spans="23:25" x14ac:dyDescent="0.3">
      <c r="W48" s="35">
        <v>-0.2999999999999976</v>
      </c>
      <c r="X48">
        <f>_xlfn.NORM.DIST(W48, 0, 1, FALSE)</f>
        <v>0.38138781546052442</v>
      </c>
      <c r="Y48" s="1">
        <v>0</v>
      </c>
    </row>
    <row r="49" spans="23:25" x14ac:dyDescent="0.3">
      <c r="W49" s="35">
        <v>-0.1999999999999976</v>
      </c>
      <c r="X49">
        <f>_xlfn.NORM.DIST(W49, 0, 1, FALSE)</f>
        <v>0.3910426939754561</v>
      </c>
      <c r="Y49" s="1">
        <v>0</v>
      </c>
    </row>
    <row r="50" spans="23:25" x14ac:dyDescent="0.3">
      <c r="W50" s="35">
        <v>-9.9999999999997591E-2</v>
      </c>
      <c r="X50">
        <f>_xlfn.NORM.DIST(W50, 0, 1, FALSE)</f>
        <v>0.39695254747701186</v>
      </c>
      <c r="Y50" s="1">
        <v>0</v>
      </c>
    </row>
    <row r="51" spans="23:25" x14ac:dyDescent="0.3">
      <c r="W51" s="35">
        <v>2.4147350785597155E-15</v>
      </c>
      <c r="X51">
        <f>_xlfn.NORM.DIST(W51, 0, 1, FALSE)</f>
        <v>0.3989422804014327</v>
      </c>
      <c r="Y51" s="1">
        <v>0</v>
      </c>
    </row>
    <row r="52" spans="23:25" x14ac:dyDescent="0.3">
      <c r="W52" s="35">
        <v>0.10000000000000242</v>
      </c>
      <c r="X52">
        <f>_xlfn.NORM.DIST(W52, 0, 1, FALSE)</f>
        <v>0.3969525474770117</v>
      </c>
      <c r="Y52" s="1">
        <v>0</v>
      </c>
    </row>
    <row r="53" spans="23:25" x14ac:dyDescent="0.3">
      <c r="W53" s="35">
        <v>0.20000000000000243</v>
      </c>
      <c r="X53">
        <f>_xlfn.NORM.DIST(W53, 0, 1, FALSE)</f>
        <v>0.39104269397545571</v>
      </c>
      <c r="Y53" s="1">
        <v>0</v>
      </c>
    </row>
    <row r="54" spans="23:25" x14ac:dyDescent="0.3">
      <c r="W54" s="35">
        <v>0.30000000000000243</v>
      </c>
      <c r="X54">
        <f>_xlfn.NORM.DIST(W54, 0, 1, FALSE)</f>
        <v>0.3813878154605238</v>
      </c>
      <c r="Y54" s="1">
        <v>0</v>
      </c>
    </row>
    <row r="55" spans="23:25" x14ac:dyDescent="0.3">
      <c r="W55" s="35">
        <v>0.40000000000000246</v>
      </c>
      <c r="X55">
        <f>_xlfn.NORM.DIST(W55, 0, 1, FALSE)</f>
        <v>0.36827014030332295</v>
      </c>
      <c r="Y55" s="1">
        <v>0</v>
      </c>
    </row>
    <row r="56" spans="23:25" x14ac:dyDescent="0.3">
      <c r="W56" s="35">
        <v>0.50000000000000244</v>
      </c>
      <c r="X56">
        <f>_xlfn.NORM.DIST(W56, 0, 1, FALSE)</f>
        <v>0.35206532676429908</v>
      </c>
      <c r="Y56" s="1">
        <v>0</v>
      </c>
    </row>
    <row r="57" spans="23:25" x14ac:dyDescent="0.3">
      <c r="W57" s="35">
        <v>0.60000000000000242</v>
      </c>
      <c r="X57">
        <f>_xlfn.NORM.DIST(W57, 0, 1, FALSE)</f>
        <v>0.33322460289179917</v>
      </c>
      <c r="Y57" s="1">
        <v>0</v>
      </c>
    </row>
    <row r="58" spans="23:25" x14ac:dyDescent="0.3">
      <c r="W58" s="35">
        <v>0.7000000000000024</v>
      </c>
      <c r="X58">
        <f>_xlfn.NORM.DIST(W58, 0, 1, FALSE)</f>
        <v>0.31225393336676072</v>
      </c>
      <c r="Y58" s="1">
        <v>0</v>
      </c>
    </row>
    <row r="59" spans="23:25" x14ac:dyDescent="0.3">
      <c r="W59" s="35">
        <v>0.80000000000000238</v>
      </c>
      <c r="X59">
        <f>_xlfn.NORM.DIST(W59, 0, 1, FALSE)</f>
        <v>0.28969155276148217</v>
      </c>
      <c r="Y59" s="1">
        <v>0</v>
      </c>
    </row>
    <row r="60" spans="23:25" x14ac:dyDescent="0.3">
      <c r="W60" s="35">
        <v>0.90000000000000235</v>
      </c>
      <c r="X60">
        <f>_xlfn.NORM.DIST(W60, 0, 1, FALSE)</f>
        <v>0.26608524989875426</v>
      </c>
      <c r="Y60" s="1">
        <v>0</v>
      </c>
    </row>
    <row r="61" spans="23:25" x14ac:dyDescent="0.3">
      <c r="W61" s="35">
        <v>1.0000000000000024</v>
      </c>
      <c r="X61">
        <f>_xlfn.NORM.DIST(W61, 0, 1, FALSE)</f>
        <v>0.24197072451914278</v>
      </c>
      <c r="Y61" s="1">
        <v>0</v>
      </c>
    </row>
    <row r="62" spans="23:25" x14ac:dyDescent="0.3">
      <c r="W62" s="35">
        <v>1.1000000000000025</v>
      </c>
      <c r="X62">
        <f>_xlfn.NORM.DIST(W62, 0, 1, FALSE)</f>
        <v>0.21785217703254997</v>
      </c>
      <c r="Y62" s="1">
        <v>0</v>
      </c>
    </row>
    <row r="63" spans="23:25" x14ac:dyDescent="0.3">
      <c r="W63" s="35">
        <v>1.2000000000000026</v>
      </c>
      <c r="X63">
        <f>_xlfn.NORM.DIST(W63, 0, 1, FALSE)</f>
        <v>0.19418605498321231</v>
      </c>
      <c r="Y63" s="1">
        <v>0</v>
      </c>
    </row>
    <row r="64" spans="23:25" x14ac:dyDescent="0.3">
      <c r="W64" s="35">
        <v>1.3000000000000027</v>
      </c>
      <c r="X64">
        <f>_xlfn.NORM.DIST(W64, 0, 1, FALSE)</f>
        <v>0.17136859204780677</v>
      </c>
      <c r="Y64" s="1">
        <v>0</v>
      </c>
    </row>
    <row r="65" spans="23:25" x14ac:dyDescent="0.3">
      <c r="W65" s="35">
        <v>1.4000000000000028</v>
      </c>
      <c r="X65">
        <f>_xlfn.NORM.DIST(W65, 0, 1, FALSE)</f>
        <v>0.14972746563574427</v>
      </c>
      <c r="Y65" s="1">
        <v>0</v>
      </c>
    </row>
    <row r="66" spans="23:25" x14ac:dyDescent="0.3">
      <c r="W66" s="35">
        <v>1.5000000000000029</v>
      </c>
      <c r="X66">
        <f>_xlfn.NORM.DIST(W66, 0, 1, FALSE)</f>
        <v>0.12951759566589116</v>
      </c>
      <c r="Y66" s="1">
        <v>0</v>
      </c>
    </row>
    <row r="67" spans="23:25" x14ac:dyDescent="0.3">
      <c r="W67" s="35">
        <v>1.600000000000003</v>
      </c>
      <c r="X67">
        <f>_xlfn.NORM.DIST(W67, 0, 1, FALSE)</f>
        <v>0.11092083467945503</v>
      </c>
      <c r="Y67" s="1">
        <v>0</v>
      </c>
    </row>
    <row r="68" spans="23:25" x14ac:dyDescent="0.3">
      <c r="W68" s="35">
        <v>1.7000000000000031</v>
      </c>
      <c r="X68">
        <f>_xlfn.NORM.DIST(W68, 0, 1, FALSE)</f>
        <v>9.4049077376886434E-2</v>
      </c>
      <c r="Y68" s="1">
        <v>0</v>
      </c>
    </row>
    <row r="69" spans="23:25" x14ac:dyDescent="0.3">
      <c r="W69" s="35">
        <v>1.8000000000000032</v>
      </c>
      <c r="X69">
        <f>_xlfn.NORM.DIST(W69, 0, 1, FALSE)</f>
        <v>7.8950158300893719E-2</v>
      </c>
      <c r="Y69" s="1">
        <v>0</v>
      </c>
    </row>
    <row r="70" spans="23:25" x14ac:dyDescent="0.3">
      <c r="W70" s="35">
        <v>1.9000000000000032</v>
      </c>
      <c r="X70">
        <f>_xlfn.NORM.DIST(W70, 0, 1, FALSE)</f>
        <v>6.5615814774676193E-2</v>
      </c>
      <c r="Y70" s="1">
        <v>0</v>
      </c>
    </row>
    <row r="71" spans="23:25" x14ac:dyDescent="0.3">
      <c r="W71" s="35">
        <v>2.0000000000000031</v>
      </c>
      <c r="X71">
        <f>_xlfn.NORM.DIST(W71, 0, 1, FALSE)</f>
        <v>5.3990966513187716E-2</v>
      </c>
      <c r="Y71" s="1">
        <v>0</v>
      </c>
    </row>
    <row r="72" spans="23:25" x14ac:dyDescent="0.3">
      <c r="W72" s="35">
        <v>2.1000000000000032</v>
      </c>
      <c r="X72">
        <f>_xlfn.NORM.DIST(W72, 0, 1, FALSE)</f>
        <v>4.39835959804269E-2</v>
      </c>
      <c r="Y72" s="1">
        <v>0</v>
      </c>
    </row>
    <row r="73" spans="23:25" x14ac:dyDescent="0.3">
      <c r="W73" s="35">
        <v>2.2000000000000033</v>
      </c>
      <c r="X73">
        <f>_xlfn.NORM.DIST(W73, 0, 1, FALSE)</f>
        <v>3.5474592846231189E-2</v>
      </c>
      <c r="Y73" s="1">
        <v>0</v>
      </c>
    </row>
    <row r="74" spans="23:25" x14ac:dyDescent="0.3">
      <c r="W74" s="35">
        <v>2.3000000000000034</v>
      </c>
      <c r="X74">
        <f>_xlfn.NORM.DIST(W74, 0, 1, FALSE)</f>
        <v>2.8327037741600961E-2</v>
      </c>
      <c r="Y74" s="1">
        <v>0</v>
      </c>
    </row>
    <row r="75" spans="23:25" x14ac:dyDescent="0.3">
      <c r="W75" s="35">
        <v>2.4000000000000035</v>
      </c>
      <c r="X75">
        <f>_xlfn.NORM.DIST(W75, 0, 1, FALSE)</f>
        <v>2.2394530294842712E-2</v>
      </c>
      <c r="Y75" s="1">
        <v>0</v>
      </c>
    </row>
    <row r="76" spans="23:25" x14ac:dyDescent="0.3">
      <c r="W76" s="35">
        <v>2.5000000000000036</v>
      </c>
      <c r="X76">
        <f>_xlfn.NORM.DIST(W76, 0, 1, FALSE)</f>
        <v>1.7528300493568381E-2</v>
      </c>
      <c r="Y76" s="1">
        <v>0</v>
      </c>
    </row>
    <row r="77" spans="23:25" x14ac:dyDescent="0.3">
      <c r="W77" s="35">
        <v>2.6000000000000036</v>
      </c>
      <c r="X77">
        <f>_xlfn.NORM.DIST(W77, 0, 1, FALSE)</f>
        <v>1.3582969233685486E-2</v>
      </c>
      <c r="Y77" s="1">
        <v>0</v>
      </c>
    </row>
    <row r="78" spans="23:25" x14ac:dyDescent="0.3">
      <c r="W78" s="35">
        <v>2.7000000000000037</v>
      </c>
      <c r="X78">
        <f>_xlfn.NORM.DIST(W78, 0, 1, FALSE)</f>
        <v>1.0420934814422488E-2</v>
      </c>
      <c r="Y78" s="1">
        <v>0</v>
      </c>
    </row>
    <row r="79" spans="23:25" x14ac:dyDescent="0.3">
      <c r="W79" s="35">
        <v>2.8000000000000038</v>
      </c>
      <c r="X79">
        <f>_xlfn.NORM.DIST(W79, 0, 1, FALSE)</f>
        <v>7.9154515829798801E-3</v>
      </c>
      <c r="Y79" s="1">
        <v>0</v>
      </c>
    </row>
    <row r="80" spans="23:25" x14ac:dyDescent="0.3">
      <c r="W80" s="35">
        <v>2.9000000000000039</v>
      </c>
      <c r="X80">
        <f>_xlfn.NORM.DIST(W80, 0, 1, FALSE)</f>
        <v>5.9525324197757853E-3</v>
      </c>
      <c r="Y80" s="1">
        <v>0</v>
      </c>
    </row>
    <row r="81" spans="23:25" x14ac:dyDescent="0.3">
      <c r="W81" s="35">
        <v>3.000000000000004</v>
      </c>
      <c r="X81">
        <f>_xlfn.NORM.DIST(W81, 0, 1, FALSE)</f>
        <v>4.4318484119379529E-3</v>
      </c>
      <c r="Y81" s="1">
        <v>0</v>
      </c>
    </row>
    <row r="82" spans="23:25" x14ac:dyDescent="0.3">
      <c r="W82" s="35">
        <v>3.1000000000000041</v>
      </c>
      <c r="X82">
        <f>_xlfn.NORM.DIST(W82, 0, 1, FALSE)</f>
        <v>3.2668190561998783E-3</v>
      </c>
      <c r="Y82" s="1">
        <v>0</v>
      </c>
    </row>
    <row r="83" spans="23:25" x14ac:dyDescent="0.3">
      <c r="W83" s="35">
        <v>3.2000000000000042</v>
      </c>
      <c r="X83">
        <f>_xlfn.NORM.DIST(W83, 0, 1, FALSE)</f>
        <v>2.3840882014648105E-3</v>
      </c>
      <c r="Y83" s="1">
        <v>0</v>
      </c>
    </row>
    <row r="84" spans="23:25" x14ac:dyDescent="0.3">
      <c r="W84" s="35">
        <v>3.3000000000000043</v>
      </c>
      <c r="X84">
        <f>_xlfn.NORM.DIST(W84, 0, 1, FALSE)</f>
        <v>1.7225689390536552E-3</v>
      </c>
      <c r="Y84" s="1">
        <v>0</v>
      </c>
    </row>
    <row r="85" spans="23:25" x14ac:dyDescent="0.3">
      <c r="W85" s="35">
        <v>3.4000000000000044</v>
      </c>
      <c r="X85">
        <f>_xlfn.NORM.DIST(W85, 0, 1, FALSE)</f>
        <v>1.2322191684730013E-3</v>
      </c>
      <c r="Y85" s="1">
        <v>0</v>
      </c>
    </row>
    <row r="86" spans="23:25" x14ac:dyDescent="0.3">
      <c r="W86" s="35">
        <v>3.5000000000000044</v>
      </c>
      <c r="X86">
        <f>_xlfn.NORM.DIST(W86, 0, 1, FALSE)</f>
        <v>8.7268269504574606E-4</v>
      </c>
      <c r="Y86" s="1">
        <v>8.7268269504574606E-4</v>
      </c>
    </row>
    <row r="87" spans="23:25" x14ac:dyDescent="0.3">
      <c r="W87" s="35">
        <v>3.6000000000000045</v>
      </c>
      <c r="X87">
        <f>_xlfn.NORM.DIST(W87, 0, 1, FALSE)</f>
        <v>6.1190193011376214E-4</v>
      </c>
      <c r="Y87" s="1">
        <v>0</v>
      </c>
    </row>
    <row r="88" spans="23:25" x14ac:dyDescent="0.3">
      <c r="W88" s="35">
        <v>3.7000000000000046</v>
      </c>
      <c r="X88">
        <f>_xlfn.NORM.DIST(W88, 0, 1, FALSE)</f>
        <v>4.2478027055074428E-4</v>
      </c>
      <c r="Y88" s="1">
        <v>0</v>
      </c>
    </row>
    <row r="89" spans="23:25" x14ac:dyDescent="0.3">
      <c r="W89" s="35">
        <v>3.8000000000000047</v>
      </c>
      <c r="X89">
        <f>_xlfn.NORM.DIST(W89, 0, 1, FALSE)</f>
        <v>2.9194692579145507E-4</v>
      </c>
      <c r="Y89" s="1">
        <v>0</v>
      </c>
    </row>
    <row r="90" spans="23:25" x14ac:dyDescent="0.3">
      <c r="W90" s="35">
        <v>3.9000000000000048</v>
      </c>
      <c r="X90">
        <f>_xlfn.NORM.DIST(W90, 0, 1, FALSE)</f>
        <v>1.9865547139276881E-4</v>
      </c>
      <c r="Y90" s="1">
        <v>0</v>
      </c>
    </row>
    <row r="91" spans="23:25" ht="15" thickBot="1" x14ac:dyDescent="0.35">
      <c r="W91" s="36">
        <v>4.0000000000000044</v>
      </c>
      <c r="X91" s="2">
        <f>_xlfn.NORM.DIST(W91, 0, 1, FALSE)</f>
        <v>1.3383022576488298E-4</v>
      </c>
      <c r="Y91" s="3">
        <v>0</v>
      </c>
    </row>
  </sheetData>
  <phoneticPr fontId="5" type="noConversion"/>
  <conditionalFormatting sqref="H3">
    <cfRule type="cellIs" dxfId="2" priority="4" operator="greaterThan">
      <formula>0.785</formula>
    </cfRule>
    <cfRule type="cellIs" dxfId="1" priority="3" operator="lessThan">
      <formula>0.45</formula>
    </cfRule>
    <cfRule type="cellIs" dxfId="0" priority="2" operator="between">
      <formula>0.45</formula>
      <formula>0.785</formula>
    </cfRule>
  </conditionalFormatting>
  <conditionalFormatting sqref="D3:F26 H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{5CDBA287-0049-4ED0-858B-012BB4845D35}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nimation.Animation" altText="RUN">
                <anchor moveWithCells="1" sizeWithCells="1">
                  <from>
                    <xdr:col>0</xdr:col>
                    <xdr:colOff>114300</xdr:colOff>
                    <xdr:row>0</xdr:row>
                    <xdr:rowOff>510540</xdr:rowOff>
                  </from>
                  <to>
                    <xdr:col>0</xdr:col>
                    <xdr:colOff>937260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DBA287-0049-4ED0-858B-012BB4845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D3:F26 H4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0b526e2-b7f7-4221-9d98-75641a374ba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554B1F913CD554CA4D907CDDF45E56F" ma:contentTypeVersion="14" ma:contentTypeDescription="Crear nuevo documento." ma:contentTypeScope="" ma:versionID="5d152e75ddb7628c65c9d636ab6637ae">
  <xsd:schema xmlns:xsd="http://www.w3.org/2001/XMLSchema" xmlns:xs="http://www.w3.org/2001/XMLSchema" xmlns:p="http://schemas.microsoft.com/office/2006/metadata/properties" xmlns:ns3="e0b526e2-b7f7-4221-9d98-75641a374ba8" xmlns:ns4="43176cb0-756f-4d2e-8ede-1343275a2651" targetNamespace="http://schemas.microsoft.com/office/2006/metadata/properties" ma:root="true" ma:fieldsID="036734c60a1a2d414a718d27167ada2b" ns3:_="" ns4:_="">
    <xsd:import namespace="e0b526e2-b7f7-4221-9d98-75641a374ba8"/>
    <xsd:import namespace="43176cb0-756f-4d2e-8ede-1343275a265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b526e2-b7f7-4221-9d98-75641a374ba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ystemTags" ma:index="15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176cb0-756f-4d2e-8ede-1343275a2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6C077E-CA0D-415E-8A4D-08833CC36C1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6B7457-00C7-4202-A606-435FB9F70FC7}">
  <ds:schemaRefs>
    <ds:schemaRef ds:uri="http://www.w3.org/XML/1998/namespace"/>
    <ds:schemaRef ds:uri="http://purl.org/dc/terms/"/>
    <ds:schemaRef ds:uri="http://purl.org/dc/elements/1.1/"/>
    <ds:schemaRef ds:uri="http://purl.org/dc/dcmitype/"/>
    <ds:schemaRef ds:uri="e0b526e2-b7f7-4221-9d98-75641a374ba8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3176cb0-756f-4d2e-8ede-1343275a2651"/>
  </ds:schemaRefs>
</ds:datastoreItem>
</file>

<file path=customXml/itemProps3.xml><?xml version="1.0" encoding="utf-8"?>
<ds:datastoreItem xmlns:ds="http://schemas.openxmlformats.org/officeDocument/2006/customXml" ds:itemID="{76FF0A3F-51D6-4D08-94E5-B4C4119B44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b526e2-b7f7-4221-9d98-75641a374ba8"/>
    <ds:schemaRef ds:uri="43176cb0-756f-4d2e-8ede-1343275a26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Kappa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blanco alvarez</dc:creator>
  <cp:lastModifiedBy>javier blanco alvarez</cp:lastModifiedBy>
  <dcterms:created xsi:type="dcterms:W3CDTF">2026-01-11T13:21:50Z</dcterms:created>
  <dcterms:modified xsi:type="dcterms:W3CDTF">2026-01-18T10:50:01Z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0x010100C554B1F913CD554CA4D907CDDF45E56F</vt:lpwstr>
  </property>
</Properties>
</file>